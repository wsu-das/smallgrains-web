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for use" sheetId="1" state="visible" r:id="rId3"/>
    <sheet name="Mehlich" sheetId="2" state="visible" r:id="rId4"/>
    <sheet name="Soil OM, exc Al and pH" sheetId="3" state="visible" r:id="rId5"/>
    <sheet name="SMP" sheetId="4" state="visible" r:id="rId6"/>
    <sheet name="Woodruff" sheetId="5" state="visible" r:id="rId7"/>
    <sheet name="Base Saturation (BS%)" sheetId="6" state="visible" r:id="rId8"/>
    <sheet name="Reserve (Potential) Acidity" sheetId="7" state="visible" r:id="rId9"/>
    <sheet name="Conversion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<sst xmlns="http://schemas.openxmlformats.org/spreadsheetml/2006/main" count="285" uniqueCount="138">
  <si>
    <t xml:space="preserve">Lime Requirement Estimate Calculator: Instructions for use</t>
  </si>
  <si>
    <r>
      <rPr>
        <sz val="11"/>
        <color rgb="FF000000"/>
        <rFont val="Aptos Narrow"/>
        <family val="2"/>
        <charset val="1"/>
      </rPr>
      <t xml:space="preserve">Please refer to </t>
    </r>
    <r>
      <rPr>
        <b val="true"/>
        <sz val="11"/>
        <color rgb="FF000000"/>
        <rFont val="Aptos Narrow"/>
        <family val="2"/>
        <charset val="1"/>
      </rPr>
      <t xml:space="preserve">Determining Lime Requirement Estimates for the inland Northwest: A guide to the updated Lime Requirement Calculator</t>
    </r>
    <r>
      <rPr>
        <sz val="11"/>
        <color rgb="FF000000"/>
        <rFont val="Aptos Narrow"/>
        <family val="2"/>
        <charset val="1"/>
      </rPr>
      <t xml:space="preserve"> (link forthcoming,</t>
    </r>
    <r>
      <rPr>
        <i val="true"/>
        <sz val="11"/>
        <color rgb="FF000000"/>
        <rFont val="Aptos Narrow"/>
        <family val="2"/>
        <charset val="1"/>
      </rPr>
      <t xml:space="preserve"> under review</t>
    </r>
    <r>
      <rPr>
        <sz val="11"/>
        <color rgb="FF000000"/>
        <rFont val="Aptos Narrow"/>
        <family val="2"/>
        <charset val="1"/>
      </rPr>
      <t xml:space="preserve">) for the detailed explanation of the calculations contained in this tool. </t>
    </r>
  </si>
  <si>
    <r>
      <rPr>
        <b val="true"/>
        <sz val="11"/>
        <color rgb="FF000000"/>
        <rFont val="Aptos Narrow"/>
        <family val="2"/>
        <charset val="1"/>
      </rPr>
      <t xml:space="preserve">How this spreadsheet works:</t>
    </r>
    <r>
      <rPr>
        <sz val="11"/>
        <color rgb="FF000000"/>
        <rFont val="Aptos Narrow"/>
        <family val="2"/>
        <charset val="1"/>
      </rPr>
      <t xml:space="preserve"> Each tab of this spreadsheet (located at the bottom of the page) contains a different method for obtaining a lime requirement. Use the tab that corresponds with the method that is recommended for your soils (based on Antonangelo, et al. (under review)). If you need a recommendation prior to publication of the user guide, please contact rachel.wieme@wsu.edu</t>
    </r>
  </si>
  <si>
    <t xml:space="preserve">Yellow cells are cells where you will enter values from your soil test report; green cells are where results will populate once the necessary inputs have been entered. Instructions for entering values from soil tests and assumptions of the calculations are located below each calculator. </t>
  </si>
  <si>
    <t xml:space="preserve">Lime Requirement Estimates in this calculator assume 100% effective calcium carbonate equivalents (ECCE). Use the calculator in the "Conversion" tab to convert to the amount of actual product required. You may also adjust other soil properties (sample depth, bulk density) if they do not match the assumptions of the LRE calculator. </t>
  </si>
  <si>
    <t xml:space="preserve">Authors: Joao Antonangelo, Carol McFarland, and Rachel Wieme</t>
  </si>
  <si>
    <t xml:space="preserve">Table 1a. LRE calculation using Mehlich Buffer pH</t>
  </si>
  <si>
    <t xml:space="preserve">Table 1b. Soil sample depth conversion - Mehlich</t>
  </si>
  <si>
    <t xml:space="preserve">Soil Testing</t>
  </si>
  <si>
    <t xml:space="preserve">Unit</t>
  </si>
  <si>
    <t xml:space="preserve">Reported value</t>
  </si>
  <si>
    <t xml:space="preserve">Calculated value</t>
  </si>
  <si>
    <t xml:space="preserve">Sample depth (in)</t>
  </si>
  <si>
    <t xml:space="preserve">LRE (lb/Acre)</t>
  </si>
  <si>
    <r>
      <rPr>
        <sz val="11"/>
        <color theme="1"/>
        <rFont val="Aptos Narrow"/>
        <family val="2"/>
        <charset val="1"/>
      </rPr>
      <t xml:space="preserve">Mehlich Buffer pH</t>
    </r>
    <r>
      <rPr>
        <b val="true"/>
        <i val="true"/>
        <vertAlign val="superscript"/>
        <sz val="11"/>
        <color theme="1"/>
        <rFont val="Aptos Narrow"/>
        <family val="2"/>
        <charset val="1"/>
      </rPr>
      <t xml:space="preserve">x</t>
    </r>
  </si>
  <si>
    <t xml:space="preserve">–</t>
  </si>
  <si>
    <t xml:space="preserve">NA</t>
  </si>
  <si>
    <t xml:space="preserve">Soil Acidity (AC)</t>
  </si>
  <si>
    <r>
      <rPr>
        <sz val="11"/>
        <color theme="1"/>
        <rFont val="Aptos Narrow"/>
        <family val="2"/>
        <charset val="1"/>
      </rPr>
      <t xml:space="preserve">meq / 100 cm</t>
    </r>
    <r>
      <rPr>
        <vertAlign val="superscript"/>
        <sz val="11"/>
        <color theme="1"/>
        <rFont val="Aptos Narrow"/>
        <family val="2"/>
        <charset val="1"/>
      </rPr>
      <t xml:space="preserve">3</t>
    </r>
  </si>
  <si>
    <r>
      <rPr>
        <sz val="10"/>
        <color theme="1"/>
        <rFont val="Aptos Narrow"/>
        <family val="2"/>
        <charset val="1"/>
      </rPr>
      <t xml:space="preserve">For example, if sampling from </t>
    </r>
    <r>
      <rPr>
        <b val="true"/>
        <sz val="10"/>
        <color theme="1"/>
        <rFont val="Aptos Narrow"/>
        <family val="2"/>
        <charset val="1"/>
      </rPr>
      <t xml:space="preserve">0 to 3 in </t>
    </r>
    <r>
      <rPr>
        <sz val="10"/>
        <color theme="1"/>
        <rFont val="Aptos Narrow"/>
        <family val="2"/>
        <charset val="1"/>
      </rPr>
      <t xml:space="preserve">(or </t>
    </r>
    <r>
      <rPr>
        <b val="true"/>
        <sz val="10"/>
        <color theme="1"/>
        <rFont val="Aptos Narrow"/>
        <family val="2"/>
        <charset val="1"/>
      </rPr>
      <t xml:space="preserve">3 to 6 in</t>
    </r>
    <r>
      <rPr>
        <sz val="10"/>
        <color theme="1"/>
        <rFont val="Aptos Narrow"/>
        <family val="2"/>
        <charset val="1"/>
      </rPr>
      <t xml:space="preserve">), enter </t>
    </r>
    <r>
      <rPr>
        <b val="true"/>
        <sz val="10"/>
        <color theme="1"/>
        <rFont val="Aptos Narrow"/>
        <family val="2"/>
        <charset val="1"/>
      </rPr>
      <t xml:space="preserve">3</t>
    </r>
  </si>
  <si>
    <r>
      <rPr>
        <sz val="11"/>
        <color theme="1"/>
        <rFont val="Aptos Narrow"/>
        <family val="2"/>
        <charset val="1"/>
      </rPr>
      <t xml:space="preserve">LRE (Lime Requirement Estimate)</t>
    </r>
    <r>
      <rPr>
        <vertAlign val="superscript"/>
        <sz val="11"/>
        <color theme="1"/>
        <rFont val="Aptos Narrow"/>
        <family val="2"/>
        <charset val="1"/>
      </rPr>
      <t xml:space="preserve">y</t>
    </r>
  </si>
  <si>
    <t xml:space="preserve">lb/acre</t>
  </si>
  <si>
    <r>
      <rPr>
        <b val="true"/>
        <i val="true"/>
        <vertAlign val="superscript"/>
        <sz val="11"/>
        <rFont val="Aptos Narrow"/>
        <family val="2"/>
        <charset val="1"/>
      </rPr>
      <t xml:space="preserve">x</t>
    </r>
    <r>
      <rPr>
        <sz val="11"/>
        <rFont val="Aptos Narrow"/>
        <family val="2"/>
        <charset val="1"/>
      </rPr>
      <t xml:space="preserve">if Mehlich Buffer pH is ≥ 6.6 NO lime is required</t>
    </r>
  </si>
  <si>
    <r>
      <rPr>
        <b val="true"/>
        <i val="true"/>
        <vertAlign val="superscript"/>
        <sz val="11"/>
        <rFont val="Aptos Narrow"/>
        <family val="2"/>
        <charset val="1"/>
      </rPr>
      <t xml:space="preserve">y</t>
    </r>
    <r>
      <rPr>
        <sz val="11"/>
        <rFont val="Aptos Narrow"/>
        <family val="2"/>
        <charset val="1"/>
      </rPr>
      <t xml:space="preserve">This calculator reports LRE 100% Calcium Carbonate Equivalent (or CCE) which may be converted to an applied quantity in the "Conversions" worksheet tab below</t>
    </r>
  </si>
  <si>
    <r>
      <rPr>
        <b val="true"/>
        <sz val="11"/>
        <rFont val="Aptos Narrow"/>
        <family val="2"/>
        <charset val="1"/>
      </rPr>
      <t xml:space="preserve">Depth:</t>
    </r>
    <r>
      <rPr>
        <sz val="11"/>
        <rFont val="Aptos Narrow"/>
        <family val="2"/>
        <charset val="1"/>
      </rPr>
      <t xml:space="preserve"> This calculation considers sample depth of 0-6 in. If sampling depth is not 0-6 in, use the depth conversion calculator in Table 1b of this worksheet. </t>
    </r>
  </si>
  <si>
    <t xml:space="preserve">Source: McFarland et al. (2020); Gavlak et al. (2005)</t>
  </si>
  <si>
    <r>
      <rPr>
        <sz val="13"/>
        <color theme="1"/>
        <rFont val="Aptos Narrow"/>
        <family val="2"/>
        <charset val="1"/>
      </rPr>
      <t xml:space="preserve">Enter reported value in the yellow field (</t>
    </r>
    <r>
      <rPr>
        <b val="true"/>
        <sz val="13"/>
        <color theme="1"/>
        <rFont val="Aptos Narrow"/>
        <family val="2"/>
        <charset val="1"/>
      </rPr>
      <t xml:space="preserve">Required</t>
    </r>
    <r>
      <rPr>
        <sz val="13"/>
        <color theme="1"/>
        <rFont val="Aptos Narrow"/>
        <family val="2"/>
        <charset val="1"/>
      </rPr>
      <t xml:space="preserve">)</t>
    </r>
  </si>
  <si>
    <t xml:space="preserve">Table 2a. LRE Calculation using soil organic matter (OM) and Exchangeable Aluminum (ExAl)</t>
  </si>
  <si>
    <t xml:space="preserve">Table 3a. LRE calculation using soil organic matter (OM) and soil pH</t>
  </si>
  <si>
    <t xml:space="preserve">Soil testing</t>
  </si>
  <si>
    <r>
      <rPr>
        <sz val="11"/>
        <color theme="1"/>
        <rFont val="Aptos Narrow"/>
        <family val="2"/>
        <charset val="1"/>
      </rPr>
      <t xml:space="preserve">Organic matter (O.M.)</t>
    </r>
    <r>
      <rPr>
        <b val="true"/>
        <i val="true"/>
        <vertAlign val="superscript"/>
        <sz val="11"/>
        <color theme="1"/>
        <rFont val="Aptos Narrow"/>
        <family val="2"/>
        <charset val="1"/>
      </rPr>
      <t xml:space="preserve">x</t>
    </r>
  </si>
  <si>
    <t xml:space="preserve">%</t>
  </si>
  <si>
    <r>
      <rPr>
        <sz val="11"/>
        <color theme="1"/>
        <rFont val="Aptos Narrow"/>
        <family val="2"/>
        <charset val="1"/>
      </rPr>
      <t xml:space="preserve">Exchangeable Aluminum/KCl Al (Al</t>
    </r>
    <r>
      <rPr>
        <vertAlign val="subscript"/>
        <sz val="11"/>
        <color theme="1"/>
        <rFont val="Aptos Narrow"/>
        <family val="2"/>
        <charset val="1"/>
      </rPr>
      <t xml:space="preserve">KCl</t>
    </r>
    <r>
      <rPr>
        <sz val="11"/>
        <color theme="1"/>
        <rFont val="Aptos Narrow"/>
        <family val="2"/>
        <charset val="1"/>
      </rPr>
      <t xml:space="preserve">)</t>
    </r>
    <r>
      <rPr>
        <b val="true"/>
        <i val="true"/>
        <vertAlign val="superscript"/>
        <sz val="11"/>
        <color theme="1"/>
        <rFont val="Aptos Narrow"/>
        <family val="2"/>
        <charset val="1"/>
      </rPr>
      <t xml:space="preserve">y</t>
    </r>
  </si>
  <si>
    <t xml:space="preserve">ppm (mg/kg)</t>
  </si>
  <si>
    <t xml:space="preserve">Soil pH</t>
  </si>
  <si>
    <t xml:space="preserve">‒</t>
  </si>
  <si>
    <r>
      <rPr>
        <sz val="11"/>
        <color theme="1"/>
        <rFont val="Aptos Narrow"/>
        <family val="2"/>
        <charset val="1"/>
      </rPr>
      <t xml:space="preserve">LRE (Lime Requirement Estimate)</t>
    </r>
    <r>
      <rPr>
        <vertAlign val="superscript"/>
        <sz val="11"/>
        <color theme="1"/>
        <rFont val="Aptos Narrow"/>
        <family val="2"/>
        <charset val="1"/>
      </rPr>
      <t xml:space="preserve">z</t>
    </r>
  </si>
  <si>
    <t xml:space="preserve">This method provides an estimate to target soil pH 6</t>
  </si>
  <si>
    <t xml:space="preserve">blank line</t>
  </si>
  <si>
    <r>
      <rPr>
        <b val="true"/>
        <i val="true"/>
        <vertAlign val="superscript"/>
        <sz val="11"/>
        <rFont val="Aptos Narrow"/>
        <family val="2"/>
        <charset val="1"/>
      </rPr>
      <t xml:space="preserve">x</t>
    </r>
    <r>
      <rPr>
        <sz val="11"/>
        <rFont val="Aptos Narrow"/>
        <family val="2"/>
        <charset val="1"/>
      </rPr>
      <t xml:space="preserve">if OM is in g/kg divide by 10 for percentage (%)</t>
    </r>
  </si>
  <si>
    <r>
      <rPr>
        <b val="true"/>
        <i val="true"/>
        <vertAlign val="superscript"/>
        <sz val="11"/>
        <rFont val="Aptos Narrow"/>
        <family val="2"/>
        <charset val="1"/>
      </rPr>
      <t xml:space="preserve">y</t>
    </r>
    <r>
      <rPr>
        <sz val="11"/>
        <rFont val="Aptos Narrow"/>
        <family val="2"/>
        <charset val="1"/>
      </rPr>
      <t xml:space="preserve">if Al is in meq/100g (cmol</t>
    </r>
    <r>
      <rPr>
        <vertAlign val="subscript"/>
        <sz val="11"/>
        <rFont val="Aptos Narrow"/>
        <family val="2"/>
        <charset val="1"/>
      </rPr>
      <t xml:space="preserve">c</t>
    </r>
    <r>
      <rPr>
        <sz val="11"/>
        <rFont val="Aptos Narrow"/>
        <family val="2"/>
        <charset val="1"/>
      </rPr>
      <t xml:space="preserve">/kg) multiply by 90 for ppm</t>
    </r>
  </si>
  <si>
    <r>
      <rPr>
        <b val="true"/>
        <i val="true"/>
        <vertAlign val="superscript"/>
        <sz val="11"/>
        <rFont val="Aptos Narrow"/>
        <family val="2"/>
        <charset val="1"/>
      </rPr>
      <t xml:space="preserve">z</t>
    </r>
    <r>
      <rPr>
        <sz val="11"/>
        <rFont val="Aptos Narrow"/>
        <family val="2"/>
        <charset val="1"/>
      </rPr>
      <t xml:space="preserve">LRE is reported as 100% Calcium Carbonate Equivalent (CCE) which may be converted to an applied quantity in the "Conversions" worksheet tab below</t>
    </r>
  </si>
  <si>
    <r>
      <rPr>
        <b val="true"/>
        <i val="true"/>
        <vertAlign val="superscript"/>
        <sz val="11"/>
        <rFont val="Aptos Narrow"/>
        <family val="2"/>
        <charset val="1"/>
      </rPr>
      <t xml:space="preserve">y</t>
    </r>
    <r>
      <rPr>
        <sz val="11"/>
        <rFont val="Aptos Narrow"/>
        <family val="2"/>
        <charset val="1"/>
      </rPr>
      <t xml:space="preserve">LRE is reported as 100% Calcium Carbonate Equivalent (CCE); convert to an applied quantity in the "Conversions" worksheet tab below</t>
    </r>
  </si>
  <si>
    <r>
      <rPr>
        <b val="true"/>
        <sz val="11"/>
        <rFont val="Aptos Narrow"/>
        <family val="2"/>
        <charset val="1"/>
      </rPr>
      <t xml:space="preserve">Depth:</t>
    </r>
    <r>
      <rPr>
        <sz val="11"/>
        <rFont val="Aptos Narrow"/>
        <family val="2"/>
        <charset val="1"/>
      </rPr>
      <t xml:space="preserve"> This calculation considers sample depth of 0-6 in. If sampling depth is not 0-6 in, use the depth conversion calculator in Table 2b of this worksheet. </t>
    </r>
  </si>
  <si>
    <r>
      <rPr>
        <b val="true"/>
        <sz val="11"/>
        <rFont val="Aptos Narrow"/>
        <family val="2"/>
        <charset val="1"/>
      </rPr>
      <t xml:space="preserve">Depth:</t>
    </r>
    <r>
      <rPr>
        <sz val="11"/>
        <rFont val="Aptos Narrow"/>
        <family val="2"/>
        <charset val="1"/>
      </rPr>
      <t xml:space="preserve"> This calculation considers sample depth of 0-6 in. If sampling depth is not 0-6 in, use the depth conversion calculator in Table 3b of this worksheet. </t>
    </r>
  </si>
  <si>
    <t xml:space="preserve">Source: McFarland et al. (2020)</t>
  </si>
  <si>
    <t xml:space="preserve">Table 2a. OM and ExAl depth conversion</t>
  </si>
  <si>
    <t xml:space="preserve">Table 2a. OM and soil pH depth conversion</t>
  </si>
  <si>
    <t xml:space="preserve">LRE (lb/acre)</t>
  </si>
  <si>
    <r>
      <rPr>
        <sz val="11"/>
        <color theme="1"/>
        <rFont val="Aptos Narrow"/>
        <family val="2"/>
        <charset val="1"/>
      </rPr>
      <t xml:space="preserve">For example, if sampling from 0 to 3 in (or 3 to 6 in), enter </t>
    </r>
    <r>
      <rPr>
        <b val="true"/>
        <sz val="11"/>
        <color theme="1"/>
        <rFont val="Aptos Narrow"/>
        <family val="2"/>
        <charset val="1"/>
      </rPr>
      <t xml:space="preserve">3</t>
    </r>
  </si>
  <si>
    <t xml:space="preserve">Table 4a. LRE Calculation using SMP Buffer pH</t>
  </si>
  <si>
    <t xml:space="preserve">Table 4b. Soil sample depth conversion - SMP</t>
  </si>
  <si>
    <r>
      <rPr>
        <sz val="11"/>
        <color theme="1"/>
        <rFont val="Aptos Narrow"/>
        <family val="2"/>
        <charset val="1"/>
      </rPr>
      <t xml:space="preserve">SMP Buffer pH</t>
    </r>
    <r>
      <rPr>
        <b val="true"/>
        <i val="true"/>
        <vertAlign val="superscript"/>
        <sz val="11"/>
        <color theme="1"/>
        <rFont val="Aptos Narrow"/>
        <family val="2"/>
        <charset val="1"/>
      </rPr>
      <t xml:space="preserve">x</t>
    </r>
  </si>
  <si>
    <r>
      <rPr>
        <sz val="11"/>
        <color theme="1"/>
        <rFont val="Aptos Narrow"/>
        <family val="2"/>
        <charset val="1"/>
      </rPr>
      <t xml:space="preserve">Target pH</t>
    </r>
    <r>
      <rPr>
        <b val="true"/>
        <i val="true"/>
        <vertAlign val="superscript"/>
        <sz val="11"/>
        <color theme="1"/>
        <rFont val="Aptos Narrow"/>
        <family val="2"/>
        <charset val="1"/>
      </rPr>
      <t xml:space="preserve">y</t>
    </r>
  </si>
  <si>
    <r>
      <rPr>
        <sz val="10"/>
        <color theme="1"/>
        <rFont val="Aptos Narrow"/>
        <family val="2"/>
        <charset val="1"/>
      </rPr>
      <t xml:space="preserve">For example, if sampling from 0 to 3 in (or 3 to 6 in), enter </t>
    </r>
    <r>
      <rPr>
        <b val="true"/>
        <sz val="10"/>
        <color theme="1"/>
        <rFont val="Aptos Narrow"/>
        <family val="2"/>
        <charset val="1"/>
      </rPr>
      <t xml:space="preserve">3</t>
    </r>
  </si>
  <si>
    <r>
      <rPr>
        <sz val="11"/>
        <color theme="1"/>
        <rFont val="Aptos Narrow"/>
        <family val="2"/>
        <charset val="1"/>
      </rPr>
      <t xml:space="preserve">LRE (Lime Requirement Estimate)</t>
    </r>
    <r>
      <rPr>
        <b val="true"/>
        <i val="true"/>
        <vertAlign val="superscript"/>
        <sz val="11"/>
        <color theme="1"/>
        <rFont val="Aptos Narrow"/>
        <family val="2"/>
        <charset val="1"/>
      </rPr>
      <t xml:space="preserve">z</t>
    </r>
  </si>
  <si>
    <r>
      <rPr>
        <b val="true"/>
        <vertAlign val="superscript"/>
        <sz val="11"/>
        <rFont val="Aptos Narrow"/>
        <family val="2"/>
        <charset val="1"/>
      </rPr>
      <t xml:space="preserve">x</t>
    </r>
    <r>
      <rPr>
        <sz val="11"/>
        <rFont val="Aptos Narrow"/>
        <family val="2"/>
        <charset val="1"/>
      </rPr>
      <t xml:space="preserve">For best accuracy</t>
    </r>
    <r>
      <rPr>
        <b val="true"/>
        <sz val="11"/>
        <rFont val="Aptos Narrow"/>
        <family val="2"/>
        <charset val="1"/>
      </rPr>
      <t xml:space="preserve"> Buffer pH</t>
    </r>
    <r>
      <rPr>
        <sz val="11"/>
        <rFont val="Aptos Narrow"/>
        <family val="2"/>
        <charset val="1"/>
      </rPr>
      <t xml:space="preserve"> must be </t>
    </r>
    <r>
      <rPr>
        <b val="true"/>
        <sz val="11"/>
        <rFont val="Aptos Narrow"/>
        <family val="2"/>
        <charset val="1"/>
      </rPr>
      <t xml:space="preserve">between</t>
    </r>
    <r>
      <rPr>
        <sz val="11"/>
        <rFont val="Aptos Narrow"/>
        <family val="2"/>
        <charset val="1"/>
      </rPr>
      <t xml:space="preserve"> </t>
    </r>
    <r>
      <rPr>
        <b val="true"/>
        <sz val="11"/>
        <rFont val="Aptos Narrow"/>
        <family val="2"/>
        <charset val="1"/>
      </rPr>
      <t xml:space="preserve">4.8</t>
    </r>
    <r>
      <rPr>
        <sz val="11"/>
        <rFont val="Aptos Narrow"/>
        <family val="2"/>
        <charset val="1"/>
      </rPr>
      <t xml:space="preserve"> and </t>
    </r>
    <r>
      <rPr>
        <b val="true"/>
        <sz val="11"/>
        <rFont val="Aptos Narrow"/>
        <family val="2"/>
        <charset val="1"/>
      </rPr>
      <t xml:space="preserve">6.7</t>
    </r>
  </si>
  <si>
    <r>
      <rPr>
        <b val="true"/>
        <i val="true"/>
        <vertAlign val="superscript"/>
        <sz val="11"/>
        <rFont val="Aptos Narrow"/>
        <family val="2"/>
        <charset val="1"/>
      </rPr>
      <t xml:space="preserve">y</t>
    </r>
    <r>
      <rPr>
        <sz val="11"/>
        <rFont val="Aptos Narrow"/>
        <family val="2"/>
        <charset val="1"/>
      </rPr>
      <t xml:space="preserve">For best accuracy </t>
    </r>
    <r>
      <rPr>
        <b val="true"/>
        <sz val="11"/>
        <rFont val="Aptos Narrow"/>
        <family val="2"/>
        <charset val="1"/>
      </rPr>
      <t xml:space="preserve">Target pH</t>
    </r>
    <r>
      <rPr>
        <sz val="11"/>
        <rFont val="Aptos Narrow"/>
        <family val="2"/>
        <charset val="1"/>
      </rPr>
      <t xml:space="preserve"> must be </t>
    </r>
    <r>
      <rPr>
        <b val="true"/>
        <sz val="11"/>
        <rFont val="Aptos Narrow"/>
        <family val="2"/>
        <charset val="1"/>
      </rPr>
      <t xml:space="preserve">between 5.6 and 6.4</t>
    </r>
  </si>
  <si>
    <r>
      <rPr>
        <b val="true"/>
        <i val="true"/>
        <vertAlign val="superscript"/>
        <sz val="11"/>
        <rFont val="Aptos Narrow"/>
        <family val="2"/>
        <charset val="1"/>
      </rPr>
      <t xml:space="preserve">z</t>
    </r>
    <r>
      <rPr>
        <sz val="11"/>
        <rFont val="Aptos Narrow"/>
        <family val="2"/>
        <charset val="1"/>
      </rPr>
      <t xml:space="preserve">LRE is reported as 100% Calcium Carbonate Equivalent (CCE); convert to an applied quantity in the "Conversions" worksheet tab below</t>
    </r>
  </si>
  <si>
    <r>
      <rPr>
        <b val="true"/>
        <sz val="11"/>
        <rFont val="Aptos Narrow"/>
        <family val="2"/>
        <charset val="1"/>
      </rPr>
      <t xml:space="preserve">Depth:</t>
    </r>
    <r>
      <rPr>
        <sz val="11"/>
        <rFont val="Aptos Narrow"/>
        <family val="2"/>
        <charset val="1"/>
      </rPr>
      <t xml:space="preserve"> This calculation considers sample depth of 0-6 in. If sampling depth is not 0-6 in, use the depth conversion calculator in Table 4b of this worksheet. </t>
    </r>
  </si>
  <si>
    <t xml:space="preserve">Source: Anderson et al. (2013)</t>
  </si>
  <si>
    <t xml:space="preserve">Table 5a. LRE Calculation using Woodruff Buffer pH</t>
  </si>
  <si>
    <t xml:space="preserve">Table 5b. Soil sample depth conversion - Woodruff</t>
  </si>
  <si>
    <r>
      <rPr>
        <sz val="11"/>
        <color theme="1"/>
        <rFont val="Aptos Narrow"/>
        <family val="2"/>
        <charset val="1"/>
      </rPr>
      <t xml:space="preserve">Woodruff Buffer pH</t>
    </r>
    <r>
      <rPr>
        <b val="true"/>
        <i val="true"/>
        <vertAlign val="superscript"/>
        <sz val="11"/>
        <color theme="1"/>
        <rFont val="Aptos Narrow"/>
        <family val="2"/>
        <charset val="1"/>
      </rPr>
      <t xml:space="preserve">x</t>
    </r>
  </si>
  <si>
    <r>
      <rPr>
        <b val="true"/>
        <vertAlign val="superscript"/>
        <sz val="11"/>
        <rFont val="Aptos Narrow"/>
        <family val="2"/>
        <charset val="1"/>
      </rPr>
      <t xml:space="preserve">x</t>
    </r>
    <r>
      <rPr>
        <sz val="11"/>
        <rFont val="Aptos Narrow"/>
        <family val="2"/>
        <charset val="1"/>
      </rPr>
      <t xml:space="preserve">For best accuracy</t>
    </r>
    <r>
      <rPr>
        <b val="true"/>
        <sz val="11"/>
        <rFont val="Aptos Narrow"/>
        <family val="2"/>
        <charset val="1"/>
      </rPr>
      <t xml:space="preserve"> Buffer pH</t>
    </r>
    <r>
      <rPr>
        <sz val="11"/>
        <rFont val="Aptos Narrow"/>
        <family val="2"/>
        <charset val="1"/>
      </rPr>
      <t xml:space="preserve"> must be </t>
    </r>
    <r>
      <rPr>
        <b val="true"/>
        <sz val="11"/>
        <rFont val="Aptos Narrow"/>
        <family val="2"/>
        <charset val="1"/>
      </rPr>
      <t xml:space="preserve">between</t>
    </r>
    <r>
      <rPr>
        <sz val="11"/>
        <rFont val="Aptos Narrow"/>
        <family val="2"/>
        <charset val="1"/>
      </rPr>
      <t xml:space="preserve"> </t>
    </r>
    <r>
      <rPr>
        <b val="true"/>
        <sz val="11"/>
        <rFont val="Aptos Narrow"/>
        <family val="2"/>
        <charset val="1"/>
      </rPr>
      <t xml:space="preserve">5.4 and 6.8</t>
    </r>
  </si>
  <si>
    <r>
      <rPr>
        <b val="true"/>
        <i val="true"/>
        <vertAlign val="superscript"/>
        <sz val="11"/>
        <rFont val="Aptos Narrow"/>
        <family val="2"/>
        <charset val="1"/>
      </rPr>
      <t xml:space="preserve">y</t>
    </r>
    <r>
      <rPr>
        <sz val="11"/>
        <rFont val="Aptos Narrow"/>
        <family val="2"/>
        <charset val="1"/>
      </rPr>
      <t xml:space="preserve">For best accuracy </t>
    </r>
    <r>
      <rPr>
        <b val="true"/>
        <sz val="11"/>
        <rFont val="Aptos Narrow"/>
        <family val="2"/>
        <charset val="1"/>
      </rPr>
      <t xml:space="preserve">Target pH</t>
    </r>
    <r>
      <rPr>
        <sz val="11"/>
        <rFont val="Aptos Narrow"/>
        <family val="2"/>
        <charset val="1"/>
      </rPr>
      <t xml:space="preserve"> must be </t>
    </r>
    <r>
      <rPr>
        <b val="true"/>
        <sz val="11"/>
        <rFont val="Aptos Narrow"/>
        <family val="2"/>
        <charset val="1"/>
      </rPr>
      <t xml:space="preserve">between 5.5 and 6.5</t>
    </r>
  </si>
  <si>
    <r>
      <rPr>
        <b val="true"/>
        <sz val="11"/>
        <rFont val="Aptos Narrow"/>
        <family val="2"/>
        <charset val="1"/>
      </rPr>
      <t xml:space="preserve">Depth:</t>
    </r>
    <r>
      <rPr>
        <sz val="11"/>
        <rFont val="Aptos Narrow"/>
        <family val="2"/>
        <charset val="1"/>
      </rPr>
      <t xml:space="preserve"> This calculation considers sample depth of 0-6 in. If sampling depth is not 0-6 in, use the depth conversion calculator in Table 5b of this worksheet. </t>
    </r>
  </si>
  <si>
    <t xml:space="preserve">Source: Van Lierop (1990)</t>
  </si>
  <si>
    <t xml:space="preserve">Table 6a. LRE Calculation using soil base saturation (BS) method</t>
  </si>
  <si>
    <t xml:space="preserve">Table 6b. Soil sample depth conversion - BS%</t>
  </si>
  <si>
    <t xml:space="preserve">Units conversion</t>
  </si>
  <si>
    <t xml:space="preserve">Notes</t>
  </si>
  <si>
    <t xml:space="preserve">Values in ppm</t>
  </si>
  <si>
    <t xml:space="preserve">Values in meq/100g</t>
  </si>
  <si>
    <t xml:space="preserve">pH</t>
  </si>
  <si>
    <t xml:space="preserve">Ca</t>
  </si>
  <si>
    <t xml:space="preserve">meq/100g</t>
  </si>
  <si>
    <r>
      <rPr>
        <i val="true"/>
        <sz val="11"/>
        <color theme="1"/>
        <rFont val="Aptos Narrow"/>
        <family val="2"/>
        <charset val="1"/>
      </rPr>
      <t xml:space="preserve">meq/100g = cmol (or cmol</t>
    </r>
    <r>
      <rPr>
        <i val="true"/>
        <vertAlign val="subscript"/>
        <sz val="11"/>
        <color theme="1"/>
        <rFont val="Aptos Narrow"/>
        <family val="2"/>
        <charset val="1"/>
      </rPr>
      <t xml:space="preserve">c</t>
    </r>
    <r>
      <rPr>
        <i val="true"/>
        <sz val="11"/>
        <color theme="1"/>
        <rFont val="Aptos Narrow"/>
        <family val="2"/>
        <charset val="1"/>
      </rPr>
      <t xml:space="preserve">) / kg</t>
    </r>
  </si>
  <si>
    <r>
      <rPr>
        <i val="true"/>
        <sz val="11"/>
        <color theme="3" tint="0.2499"/>
        <rFont val="Aptos Narrow"/>
        <family val="2"/>
        <charset val="1"/>
      </rPr>
      <t xml:space="preserve">if </t>
    </r>
    <r>
      <rPr>
        <b val="true"/>
        <i val="true"/>
        <sz val="11"/>
        <color theme="3" tint="0.2499"/>
        <rFont val="Aptos Narrow"/>
        <family val="2"/>
        <charset val="1"/>
      </rPr>
      <t xml:space="preserve">Ca</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200 </t>
    </r>
    <r>
      <rPr>
        <i val="true"/>
        <sz val="11"/>
        <color theme="3" tint="0.2499"/>
        <rFont val="Aptos Narrow"/>
        <family val="2"/>
        <charset val="1"/>
      </rPr>
      <t xml:space="preserve">for </t>
    </r>
    <r>
      <rPr>
        <b val="true"/>
        <i val="true"/>
        <sz val="11"/>
        <color theme="3" tint="0.2499"/>
        <rFont val="Aptos Narrow"/>
        <family val="2"/>
        <charset val="1"/>
      </rPr>
      <t xml:space="preserve">meq/100g</t>
    </r>
    <r>
      <rPr>
        <i val="true"/>
        <sz val="11"/>
        <color theme="3" tint="0.2499"/>
        <rFont val="Aptos Narrow"/>
        <family val="2"/>
        <charset val="1"/>
      </rPr>
      <t xml:space="preserve">*</t>
    </r>
  </si>
  <si>
    <t xml:space="preserve">Mg</t>
  </si>
  <si>
    <r>
      <rPr>
        <i val="true"/>
        <sz val="11"/>
        <color theme="3" tint="0.2499"/>
        <rFont val="Aptos Narrow"/>
        <family val="2"/>
        <charset val="1"/>
      </rPr>
      <t xml:space="preserve">if </t>
    </r>
    <r>
      <rPr>
        <b val="true"/>
        <i val="true"/>
        <sz val="11"/>
        <color theme="3" tint="0.2499"/>
        <rFont val="Aptos Narrow"/>
        <family val="2"/>
        <charset val="1"/>
      </rPr>
      <t xml:space="preserve">Mg</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120</t>
    </r>
    <r>
      <rPr>
        <i val="true"/>
        <sz val="11"/>
        <color theme="3" tint="0.2499"/>
        <rFont val="Aptos Narrow"/>
        <family val="2"/>
        <charset val="1"/>
      </rPr>
      <t xml:space="preserve"> for </t>
    </r>
    <r>
      <rPr>
        <b val="true"/>
        <i val="true"/>
        <sz val="11"/>
        <color theme="3" tint="0.2499"/>
        <rFont val="Aptos Narrow"/>
        <family val="2"/>
        <charset val="1"/>
      </rPr>
      <t xml:space="preserve">meq/100g</t>
    </r>
  </si>
  <si>
    <t xml:space="preserve">K</t>
  </si>
  <si>
    <r>
      <rPr>
        <i val="true"/>
        <sz val="11"/>
        <color theme="3" tint="0.2499"/>
        <rFont val="Aptos Narrow"/>
        <family val="2"/>
        <charset val="1"/>
      </rPr>
      <t xml:space="preserve">if </t>
    </r>
    <r>
      <rPr>
        <b val="true"/>
        <i val="true"/>
        <sz val="11"/>
        <color theme="3" tint="0.2499"/>
        <rFont val="Aptos Narrow"/>
        <family val="2"/>
        <charset val="1"/>
      </rPr>
      <t xml:space="preserve">K</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390</t>
    </r>
    <r>
      <rPr>
        <i val="true"/>
        <sz val="11"/>
        <color theme="3" tint="0.2499"/>
        <rFont val="Aptos Narrow"/>
        <family val="2"/>
        <charset val="1"/>
      </rPr>
      <t xml:space="preserve"> for </t>
    </r>
    <r>
      <rPr>
        <b val="true"/>
        <i val="true"/>
        <sz val="11"/>
        <color theme="3" tint="0.2499"/>
        <rFont val="Aptos Narrow"/>
        <family val="2"/>
        <charset val="1"/>
      </rPr>
      <t xml:space="preserve">meq/100g</t>
    </r>
  </si>
  <si>
    <r>
      <rPr>
        <sz val="12"/>
        <color theme="1"/>
        <rFont val="Aptos Narrow"/>
        <family val="2"/>
        <charset val="1"/>
      </rPr>
      <t xml:space="preserve">Na</t>
    </r>
    <r>
      <rPr>
        <b val="true"/>
        <i val="true"/>
        <vertAlign val="superscript"/>
        <sz val="12"/>
        <color theme="1"/>
        <rFont val="Aptos Narrow"/>
        <family val="2"/>
        <charset val="1"/>
      </rPr>
      <t xml:space="preserve">w</t>
    </r>
  </si>
  <si>
    <r>
      <rPr>
        <i val="true"/>
        <sz val="11"/>
        <color theme="3" tint="0.2499"/>
        <rFont val="Aptos Narrow"/>
        <family val="2"/>
        <charset val="1"/>
      </rPr>
      <t xml:space="preserve">if </t>
    </r>
    <r>
      <rPr>
        <b val="true"/>
        <i val="true"/>
        <sz val="11"/>
        <color theme="3" tint="0.2499"/>
        <rFont val="Aptos Narrow"/>
        <family val="2"/>
        <charset val="1"/>
      </rPr>
      <t xml:space="preserve">Na</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230</t>
    </r>
    <r>
      <rPr>
        <i val="true"/>
        <sz val="11"/>
        <color theme="3" tint="0.2499"/>
        <rFont val="Aptos Narrow"/>
        <family val="2"/>
        <charset val="1"/>
      </rPr>
      <t xml:space="preserve"> for </t>
    </r>
    <r>
      <rPr>
        <b val="true"/>
        <i val="true"/>
        <sz val="11"/>
        <color theme="3" tint="0.2499"/>
        <rFont val="Aptos Narrow"/>
        <family val="2"/>
        <charset val="1"/>
      </rPr>
      <t xml:space="preserve">meq/100g</t>
    </r>
    <r>
      <rPr>
        <b val="true"/>
        <i val="true"/>
        <vertAlign val="superscript"/>
        <sz val="11"/>
        <color theme="3" tint="0.2499"/>
        <rFont val="Aptos Narrow"/>
        <family val="2"/>
        <charset val="1"/>
      </rPr>
      <t xml:space="preserve">w</t>
    </r>
  </si>
  <si>
    <t xml:space="preserve">SB (Sum of base)</t>
  </si>
  <si>
    <r>
      <rPr>
        <b val="true"/>
        <i val="true"/>
        <sz val="11"/>
        <color theme="8" tint="-0.25"/>
        <rFont val="Aptos Narrow"/>
        <family val="2"/>
        <charset val="1"/>
      </rPr>
      <t xml:space="preserve">Calculated</t>
    </r>
    <r>
      <rPr>
        <i val="true"/>
        <sz val="11"/>
        <color theme="8" tint="-0.25"/>
        <rFont val="Aptos Narrow"/>
        <family val="2"/>
        <charset val="1"/>
      </rPr>
      <t xml:space="preserve"> value must be </t>
    </r>
    <r>
      <rPr>
        <b val="true"/>
        <i val="true"/>
        <sz val="11"/>
        <color theme="8" tint="-0.25"/>
        <rFont val="Aptos Narrow"/>
        <family val="2"/>
        <charset val="1"/>
      </rPr>
      <t xml:space="preserve">equal</t>
    </r>
    <r>
      <rPr>
        <i val="true"/>
        <sz val="11"/>
        <color theme="8" tint="-0.25"/>
        <rFont val="Aptos Narrow"/>
        <family val="2"/>
        <charset val="1"/>
      </rPr>
      <t xml:space="preserve"> to </t>
    </r>
    <r>
      <rPr>
        <b val="true"/>
        <i val="true"/>
        <sz val="11"/>
        <color theme="8" tint="-0.25"/>
        <rFont val="Aptos Narrow"/>
        <family val="2"/>
        <charset val="1"/>
      </rPr>
      <t xml:space="preserve">reported</t>
    </r>
    <r>
      <rPr>
        <i val="true"/>
        <sz val="11"/>
        <color theme="8" tint="-0.25"/>
        <rFont val="Aptos Narrow"/>
        <family val="2"/>
        <charset val="1"/>
      </rPr>
      <t xml:space="preserve"> value (</t>
    </r>
    <r>
      <rPr>
        <b val="true"/>
        <i val="true"/>
        <sz val="11"/>
        <color theme="8" tint="-0.25"/>
        <rFont val="Aptos Narrow"/>
        <family val="2"/>
        <charset val="1"/>
      </rPr>
      <t xml:space="preserve">if reported</t>
    </r>
    <r>
      <rPr>
        <i val="true"/>
        <sz val="11"/>
        <color theme="8" tint="-0.25"/>
        <rFont val="Aptos Narrow"/>
        <family val="2"/>
        <charset val="1"/>
      </rPr>
      <t xml:space="preserve">)</t>
    </r>
  </si>
  <si>
    <r>
      <rPr>
        <sz val="12"/>
        <color theme="1"/>
        <rFont val="Aptos Narrow"/>
        <family val="2"/>
        <charset val="1"/>
      </rPr>
      <t xml:space="preserve">(H+Al)</t>
    </r>
    <r>
      <rPr>
        <b val="true"/>
        <i val="true"/>
        <vertAlign val="superscript"/>
        <sz val="12"/>
        <color theme="1"/>
        <rFont val="Aptos Narrow"/>
        <family val="2"/>
        <charset val="1"/>
      </rPr>
      <t xml:space="preserve">x</t>
    </r>
  </si>
  <si>
    <r>
      <rPr>
        <i val="true"/>
        <sz val="11"/>
        <color theme="3" tint="0.2499"/>
        <rFont val="Aptos Narrow"/>
        <family val="2"/>
        <charset val="1"/>
      </rPr>
      <t xml:space="preserve">if not reported please enter "</t>
    </r>
    <r>
      <rPr>
        <b val="true"/>
        <i val="true"/>
        <sz val="11"/>
        <color theme="3" tint="0.2499"/>
        <rFont val="Aptos Narrow"/>
        <family val="2"/>
        <charset val="1"/>
      </rPr>
      <t xml:space="preserve">0</t>
    </r>
    <r>
      <rPr>
        <i val="true"/>
        <sz val="11"/>
        <color theme="3" tint="0.2499"/>
        <rFont val="Aptos Narrow"/>
        <family val="2"/>
        <charset val="1"/>
      </rPr>
      <t xml:space="preserve">" (zero)</t>
    </r>
  </si>
  <si>
    <t xml:space="preserve">CEC</t>
  </si>
  <si>
    <r>
      <rPr>
        <i val="true"/>
        <sz val="11"/>
        <color theme="3" tint="0.2499"/>
        <rFont val="Aptos Narrow"/>
        <family val="2"/>
        <charset val="1"/>
      </rPr>
      <t xml:space="preserve">if </t>
    </r>
    <r>
      <rPr>
        <b val="true"/>
        <i val="true"/>
        <sz val="11"/>
        <color theme="3" tint="0.2499"/>
        <rFont val="Aptos Narrow"/>
        <family val="2"/>
        <charset val="1"/>
      </rPr>
      <t xml:space="preserve">more than one</t>
    </r>
    <r>
      <rPr>
        <i val="true"/>
        <sz val="11"/>
        <color theme="3" tint="0.2499"/>
        <rFont val="Aptos Narrow"/>
        <family val="2"/>
        <charset val="1"/>
      </rPr>
      <t xml:space="preserve"> CEC value is reported enter the </t>
    </r>
    <r>
      <rPr>
        <b val="true"/>
        <i val="true"/>
        <sz val="11"/>
        <color theme="3" tint="0.2499"/>
        <rFont val="Aptos Narrow"/>
        <family val="2"/>
        <charset val="1"/>
      </rPr>
      <t xml:space="preserve">lowest</t>
    </r>
    <r>
      <rPr>
        <i val="true"/>
        <sz val="11"/>
        <color theme="3" tint="0.2499"/>
        <rFont val="Aptos Narrow"/>
        <family val="2"/>
        <charset val="1"/>
      </rPr>
      <t xml:space="preserve"> one</t>
    </r>
  </si>
  <si>
    <t xml:space="preserve">Actual BS</t>
  </si>
  <si>
    <r>
      <rPr>
        <i val="true"/>
        <sz val="11"/>
        <color theme="3" tint="0.2499"/>
        <rFont val="Aptos Narrow"/>
        <family val="2"/>
        <charset val="1"/>
      </rPr>
      <t xml:space="preserve">If </t>
    </r>
    <r>
      <rPr>
        <b val="true"/>
        <i val="true"/>
        <sz val="11"/>
        <color theme="3" tint="0.2499"/>
        <rFont val="Aptos Narrow"/>
        <family val="2"/>
        <charset val="1"/>
      </rPr>
      <t xml:space="preserve">not reported</t>
    </r>
    <r>
      <rPr>
        <i val="true"/>
        <sz val="11"/>
        <color theme="3" tint="0.2499"/>
        <rFont val="Aptos Narrow"/>
        <family val="2"/>
        <charset val="1"/>
      </rPr>
      <t xml:space="preserve"> please enter "</t>
    </r>
    <r>
      <rPr>
        <b val="true"/>
        <i val="true"/>
        <sz val="11"/>
        <color theme="3" tint="0.2499"/>
        <rFont val="Aptos Narrow"/>
        <family val="2"/>
        <charset val="1"/>
      </rPr>
      <t xml:space="preserve">0</t>
    </r>
    <r>
      <rPr>
        <i val="true"/>
        <sz val="11"/>
        <color theme="3" tint="0.2499"/>
        <rFont val="Aptos Narrow"/>
        <family val="2"/>
        <charset val="1"/>
      </rPr>
      <t xml:space="preserve">" (zero)</t>
    </r>
  </si>
  <si>
    <r>
      <rPr>
        <sz val="12"/>
        <color theme="1"/>
        <rFont val="Aptos Narrow"/>
        <family val="2"/>
        <charset val="1"/>
      </rPr>
      <t xml:space="preserve">Target BS</t>
    </r>
    <r>
      <rPr>
        <b val="true"/>
        <i val="true"/>
        <vertAlign val="superscript"/>
        <sz val="12"/>
        <color theme="1"/>
        <rFont val="Aptos Narrow"/>
        <family val="2"/>
        <charset val="1"/>
      </rPr>
      <t xml:space="preserve">y</t>
    </r>
  </si>
  <si>
    <r>
      <rPr>
        <sz val="12"/>
        <color theme="1"/>
        <rFont val="Aptos Narrow"/>
        <family val="2"/>
        <charset val="1"/>
      </rPr>
      <t xml:space="preserve">LRE</t>
    </r>
    <r>
      <rPr>
        <b val="true"/>
        <i val="true"/>
        <vertAlign val="superscript"/>
        <sz val="12"/>
        <color theme="1"/>
        <rFont val="Aptos Narrow"/>
        <family val="2"/>
        <charset val="1"/>
      </rPr>
      <t xml:space="preserve">z</t>
    </r>
  </si>
  <si>
    <r>
      <rPr>
        <b val="true"/>
        <i val="true"/>
        <vertAlign val="superscript"/>
        <sz val="11"/>
        <color theme="1"/>
        <rFont val="Aptos Narrow"/>
        <family val="2"/>
        <charset val="1"/>
      </rPr>
      <t xml:space="preserve">w</t>
    </r>
    <r>
      <rPr>
        <sz val="11"/>
        <color theme="1"/>
        <rFont val="Aptos Narrow"/>
        <family val="2"/>
        <charset val="1"/>
      </rPr>
      <t xml:space="preserve">If not reported, enter "</t>
    </r>
    <r>
      <rPr>
        <b val="true"/>
        <sz val="11"/>
        <color theme="1"/>
        <rFont val="Aptos Narrow"/>
        <family val="2"/>
        <charset val="1"/>
      </rPr>
      <t xml:space="preserve">0</t>
    </r>
    <r>
      <rPr>
        <sz val="11"/>
        <color theme="1"/>
        <rFont val="Aptos Narrow"/>
        <family val="2"/>
        <charset val="1"/>
      </rPr>
      <t xml:space="preserve">" (zero)</t>
    </r>
  </si>
  <si>
    <r>
      <rPr>
        <b val="true"/>
        <i val="true"/>
        <vertAlign val="superscript"/>
        <sz val="11"/>
        <color theme="1"/>
        <rFont val="Aptos Narrow"/>
        <family val="2"/>
        <charset val="1"/>
      </rPr>
      <t xml:space="preserve">x</t>
    </r>
    <r>
      <rPr>
        <sz val="11"/>
        <color theme="1"/>
        <rFont val="Aptos Narrow"/>
        <family val="2"/>
        <charset val="1"/>
      </rPr>
      <t xml:space="preserve">Represents reserve acidity (may be represented differently than "H+Al" in soil test report)</t>
    </r>
  </si>
  <si>
    <r>
      <rPr>
        <b val="true"/>
        <i val="true"/>
        <vertAlign val="superscript"/>
        <sz val="11"/>
        <color theme="1"/>
        <rFont val="Aptos Narrow"/>
        <family val="2"/>
        <charset val="1"/>
      </rPr>
      <t xml:space="preserve">y</t>
    </r>
    <r>
      <rPr>
        <sz val="11"/>
        <color theme="1"/>
        <rFont val="Aptos Narrow"/>
        <family val="2"/>
        <charset val="1"/>
      </rPr>
      <t xml:space="preserve">Please see companion publication for more on Target BS ranges</t>
    </r>
  </si>
  <si>
    <t xml:space="preserve">*if needed to convert ppm to meq/100g, use the cells to the right</t>
  </si>
  <si>
    <r>
      <rPr>
        <b val="true"/>
        <sz val="11"/>
        <rFont val="Aptos Narrow"/>
        <family val="2"/>
        <charset val="1"/>
      </rPr>
      <t xml:space="preserve">Depth:</t>
    </r>
    <r>
      <rPr>
        <sz val="11"/>
        <rFont val="Aptos Narrow"/>
        <family val="2"/>
        <charset val="1"/>
      </rPr>
      <t xml:space="preserve"> This calculation considers sample depth of </t>
    </r>
    <r>
      <rPr>
        <b val="true"/>
        <sz val="11"/>
        <rFont val="Aptos Narrow"/>
        <family val="2"/>
        <charset val="1"/>
      </rPr>
      <t xml:space="preserve">0-6 in</t>
    </r>
    <r>
      <rPr>
        <sz val="11"/>
        <rFont val="Aptos Narrow"/>
        <family val="2"/>
        <charset val="1"/>
      </rPr>
      <t xml:space="preserve">. If sampling depth is not 0-6 in, use the depth conversion calculator in Table 6b of this worksheet. </t>
    </r>
  </si>
  <si>
    <t xml:space="preserve">Source: Cantarella et al. (1998) and Reganold &amp; Harsh (1985)</t>
  </si>
  <si>
    <r>
      <rPr>
        <sz val="13"/>
        <color theme="1"/>
        <rFont val="Aptos Narrow"/>
        <family val="2"/>
        <charset val="1"/>
      </rPr>
      <t xml:space="preserve">Enter reported value in the orange field (</t>
    </r>
    <r>
      <rPr>
        <b val="true"/>
        <sz val="13"/>
        <color theme="1"/>
        <rFont val="Aptos Narrow"/>
        <family val="2"/>
        <charset val="1"/>
      </rPr>
      <t xml:space="preserve">Optional</t>
    </r>
    <r>
      <rPr>
        <sz val="13"/>
        <color theme="1"/>
        <rFont val="Aptos Narrow"/>
        <family val="2"/>
        <charset val="1"/>
      </rPr>
      <t xml:space="preserve">)</t>
    </r>
  </si>
  <si>
    <t xml:space="preserve">Table 7a. LRE Calculator using Reserve (Potential) Acidity. </t>
  </si>
  <si>
    <t xml:space="preserve">Table 7b. Depth conversion -Reserve Acidity-ExcAl</t>
  </si>
  <si>
    <t xml:space="preserve">soil test unit conversions</t>
  </si>
  <si>
    <t xml:space="preserve">LRE (Exc-Al) (lb/acre)</t>
  </si>
  <si>
    <r>
      <rPr>
        <i val="true"/>
        <sz val="11"/>
        <color theme="3" tint="0.2499"/>
        <rFont val="Aptos Narrow"/>
        <family val="2"/>
        <charset val="1"/>
      </rPr>
      <t xml:space="preserve">If </t>
    </r>
    <r>
      <rPr>
        <b val="true"/>
        <i val="true"/>
        <sz val="11"/>
        <color theme="3" tint="0.2499"/>
        <rFont val="Aptos Narrow"/>
        <family val="2"/>
        <charset val="1"/>
      </rPr>
      <t xml:space="preserve">Ca</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200 </t>
    </r>
    <r>
      <rPr>
        <i val="true"/>
        <sz val="11"/>
        <color theme="3" tint="0.2499"/>
        <rFont val="Aptos Narrow"/>
        <family val="2"/>
        <charset val="1"/>
      </rPr>
      <t xml:space="preserve">for </t>
    </r>
    <r>
      <rPr>
        <b val="true"/>
        <i val="true"/>
        <sz val="11"/>
        <color theme="3" tint="0.2499"/>
        <rFont val="Aptos Narrow"/>
        <family val="2"/>
        <charset val="1"/>
      </rPr>
      <t xml:space="preserve">meq/100g</t>
    </r>
    <r>
      <rPr>
        <i val="true"/>
        <sz val="11"/>
        <color theme="3" tint="0.2499"/>
        <rFont val="Aptos Narrow"/>
        <family val="2"/>
        <charset val="1"/>
      </rPr>
      <t xml:space="preserve">*</t>
    </r>
  </si>
  <si>
    <r>
      <rPr>
        <i val="true"/>
        <sz val="11"/>
        <color theme="3" tint="0.2499"/>
        <rFont val="Aptos Narrow"/>
        <family val="2"/>
        <charset val="1"/>
      </rPr>
      <t xml:space="preserve">If </t>
    </r>
    <r>
      <rPr>
        <b val="true"/>
        <i val="true"/>
        <sz val="11"/>
        <color theme="3" tint="0.2499"/>
        <rFont val="Aptos Narrow"/>
        <family val="2"/>
        <charset val="1"/>
      </rPr>
      <t xml:space="preserve">Mg</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120</t>
    </r>
    <r>
      <rPr>
        <i val="true"/>
        <sz val="11"/>
        <color theme="3" tint="0.2499"/>
        <rFont val="Aptos Narrow"/>
        <family val="2"/>
        <charset val="1"/>
      </rPr>
      <t xml:space="preserve"> for </t>
    </r>
    <r>
      <rPr>
        <b val="true"/>
        <i val="true"/>
        <sz val="11"/>
        <color theme="3" tint="0.2499"/>
        <rFont val="Aptos Narrow"/>
        <family val="2"/>
        <charset val="1"/>
      </rPr>
      <t xml:space="preserve">meq/100g</t>
    </r>
  </si>
  <si>
    <t xml:space="preserve">Table 7c. Depth conversion -Reserve Acidity</t>
  </si>
  <si>
    <r>
      <rPr>
        <i val="true"/>
        <sz val="11"/>
        <color theme="3" tint="0.2499"/>
        <rFont val="Aptos Narrow"/>
        <family val="2"/>
        <charset val="1"/>
      </rPr>
      <t xml:space="preserve">If </t>
    </r>
    <r>
      <rPr>
        <b val="true"/>
        <i val="true"/>
        <sz val="11"/>
        <color theme="3" tint="0.2499"/>
        <rFont val="Aptos Narrow"/>
        <family val="2"/>
        <charset val="1"/>
      </rPr>
      <t xml:space="preserve">K</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390</t>
    </r>
    <r>
      <rPr>
        <i val="true"/>
        <sz val="11"/>
        <color theme="3" tint="0.2499"/>
        <rFont val="Aptos Narrow"/>
        <family val="2"/>
        <charset val="1"/>
      </rPr>
      <t xml:space="preserve"> for </t>
    </r>
    <r>
      <rPr>
        <b val="true"/>
        <i val="true"/>
        <sz val="11"/>
        <color theme="3" tint="0.2499"/>
        <rFont val="Aptos Narrow"/>
        <family val="2"/>
        <charset val="1"/>
      </rPr>
      <t xml:space="preserve">meq/100g</t>
    </r>
  </si>
  <si>
    <t xml:space="preserve">Sample depth  (in)</t>
  </si>
  <si>
    <r>
      <rPr>
        <sz val="11"/>
        <color theme="1"/>
        <rFont val="Aptos Narrow"/>
        <family val="2"/>
        <charset val="1"/>
      </rPr>
      <t xml:space="preserve">Na</t>
    </r>
    <r>
      <rPr>
        <b val="true"/>
        <i val="true"/>
        <vertAlign val="superscript"/>
        <sz val="11"/>
        <color theme="1"/>
        <rFont val="Aptos Narrow"/>
        <family val="2"/>
        <charset val="1"/>
      </rPr>
      <t xml:space="preserve">w</t>
    </r>
  </si>
  <si>
    <r>
      <rPr>
        <i val="true"/>
        <sz val="11"/>
        <color theme="3" tint="0.2499"/>
        <rFont val="Aptos Narrow"/>
        <family val="2"/>
        <charset val="1"/>
      </rPr>
      <t xml:space="preserve">If </t>
    </r>
    <r>
      <rPr>
        <b val="true"/>
        <i val="true"/>
        <sz val="11"/>
        <color theme="3" tint="0.2499"/>
        <rFont val="Aptos Narrow"/>
        <family val="2"/>
        <charset val="1"/>
      </rPr>
      <t xml:space="preserve">Na</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230</t>
    </r>
    <r>
      <rPr>
        <i val="true"/>
        <sz val="11"/>
        <color theme="3" tint="0.2499"/>
        <rFont val="Aptos Narrow"/>
        <family val="2"/>
        <charset val="1"/>
      </rPr>
      <t xml:space="preserve"> for </t>
    </r>
    <r>
      <rPr>
        <b val="true"/>
        <i val="true"/>
        <sz val="11"/>
        <color theme="3" tint="0.2499"/>
        <rFont val="Aptos Narrow"/>
        <family val="2"/>
        <charset val="1"/>
      </rPr>
      <t xml:space="preserve">meq/100g</t>
    </r>
    <r>
      <rPr>
        <b val="true"/>
        <i val="true"/>
        <vertAlign val="superscript"/>
        <sz val="11"/>
        <color theme="3" tint="0.2499"/>
        <rFont val="Aptos Narrow"/>
        <family val="2"/>
        <charset val="1"/>
      </rPr>
      <t xml:space="preserve">w</t>
    </r>
  </si>
  <si>
    <r>
      <rPr>
        <b val="true"/>
        <i val="true"/>
        <sz val="11"/>
        <color theme="8" tint="-0.25"/>
        <rFont val="Aptos Narrow"/>
        <family val="2"/>
        <charset val="1"/>
      </rPr>
      <t xml:space="preserve">Calculated</t>
    </r>
    <r>
      <rPr>
        <i val="true"/>
        <sz val="11"/>
        <color theme="8" tint="-0.25"/>
        <rFont val="Aptos Narrow"/>
        <family val="2"/>
        <charset val="1"/>
      </rPr>
      <t xml:space="preserve"> value must be </t>
    </r>
    <r>
      <rPr>
        <b val="true"/>
        <i val="true"/>
        <sz val="11"/>
        <color theme="8" tint="-0.25"/>
        <rFont val="Aptos Narrow"/>
        <family val="2"/>
        <charset val="1"/>
      </rPr>
      <t xml:space="preserve">equal</t>
    </r>
    <r>
      <rPr>
        <i val="true"/>
        <sz val="11"/>
        <color theme="8" tint="-0.25"/>
        <rFont val="Aptos Narrow"/>
        <family val="2"/>
        <charset val="1"/>
      </rPr>
      <t xml:space="preserve"> </t>
    </r>
    <r>
      <rPr>
        <b val="true"/>
        <i val="true"/>
        <sz val="11"/>
        <color theme="8" tint="-0.25"/>
        <rFont val="Aptos Narrow"/>
        <family val="2"/>
        <charset val="1"/>
      </rPr>
      <t xml:space="preserve">reported</t>
    </r>
    <r>
      <rPr>
        <i val="true"/>
        <sz val="11"/>
        <color theme="8" tint="-0.25"/>
        <rFont val="Aptos Narrow"/>
        <family val="2"/>
        <charset val="1"/>
      </rPr>
      <t xml:space="preserve"> value (</t>
    </r>
    <r>
      <rPr>
        <b val="true"/>
        <i val="true"/>
        <sz val="11"/>
        <color theme="8" tint="-0.25"/>
        <rFont val="Aptos Narrow"/>
        <family val="2"/>
        <charset val="1"/>
      </rPr>
      <t xml:space="preserve">if reported</t>
    </r>
    <r>
      <rPr>
        <i val="true"/>
        <sz val="11"/>
        <color theme="8" tint="-0.25"/>
        <rFont val="Aptos Narrow"/>
        <family val="2"/>
        <charset val="1"/>
      </rPr>
      <t xml:space="preserve">)</t>
    </r>
  </si>
  <si>
    <t xml:space="preserve">Exc-Al (KCl)</t>
  </si>
  <si>
    <r>
      <rPr>
        <i val="true"/>
        <sz val="11"/>
        <color theme="3" tint="0.2499"/>
        <rFont val="Aptos Narrow"/>
        <family val="2"/>
        <charset val="1"/>
      </rPr>
      <t xml:space="preserve">If </t>
    </r>
    <r>
      <rPr>
        <b val="true"/>
        <i val="true"/>
        <sz val="11"/>
        <color theme="3" tint="0.2499"/>
        <rFont val="Aptos Narrow"/>
        <family val="2"/>
        <charset val="1"/>
      </rPr>
      <t xml:space="preserve">Al</t>
    </r>
    <r>
      <rPr>
        <i val="true"/>
        <sz val="11"/>
        <color theme="3" tint="0.2499"/>
        <rFont val="Aptos Narrow"/>
        <family val="2"/>
        <charset val="1"/>
      </rPr>
      <t xml:space="preserve"> is in </t>
    </r>
    <r>
      <rPr>
        <b val="true"/>
        <i val="true"/>
        <sz val="11"/>
        <color theme="3" tint="0.2499"/>
        <rFont val="Aptos Narrow"/>
        <family val="2"/>
        <charset val="1"/>
      </rPr>
      <t xml:space="preserve">ppm</t>
    </r>
    <r>
      <rPr>
        <i val="true"/>
        <sz val="11"/>
        <color theme="3" tint="0.2499"/>
        <rFont val="Aptos Narrow"/>
        <family val="2"/>
        <charset val="1"/>
      </rPr>
      <t xml:space="preserve"> (mg/kg) divide by </t>
    </r>
    <r>
      <rPr>
        <b val="true"/>
        <i val="true"/>
        <sz val="11"/>
        <color theme="3" tint="0.2499"/>
        <rFont val="Aptos Narrow"/>
        <family val="2"/>
        <charset val="1"/>
      </rPr>
      <t xml:space="preserve">90</t>
    </r>
    <r>
      <rPr>
        <i val="true"/>
        <sz val="11"/>
        <color theme="3" tint="0.2499"/>
        <rFont val="Aptos Narrow"/>
        <family val="2"/>
        <charset val="1"/>
      </rPr>
      <t xml:space="preserve"> for </t>
    </r>
    <r>
      <rPr>
        <b val="true"/>
        <i val="true"/>
        <sz val="11"/>
        <color theme="3" tint="0.2499"/>
        <rFont val="Aptos Narrow"/>
        <family val="2"/>
        <charset val="1"/>
      </rPr>
      <t xml:space="preserve">meq/100g</t>
    </r>
  </si>
  <si>
    <r>
      <rPr>
        <sz val="11"/>
        <color theme="1"/>
        <rFont val="Aptos Narrow"/>
        <family val="2"/>
        <charset val="1"/>
      </rPr>
      <t xml:space="preserve">(H+Al)</t>
    </r>
    <r>
      <rPr>
        <b val="true"/>
        <i val="true"/>
        <vertAlign val="superscript"/>
        <sz val="11"/>
        <color theme="1"/>
        <rFont val="Aptos Narrow"/>
        <family val="2"/>
        <charset val="1"/>
      </rPr>
      <t xml:space="preserve">x</t>
    </r>
  </si>
  <si>
    <r>
      <rPr>
        <i val="true"/>
        <sz val="11"/>
        <color theme="3" tint="0.2499"/>
        <rFont val="Aptos Narrow"/>
        <family val="2"/>
        <charset val="1"/>
      </rPr>
      <t xml:space="preserve">If not reported please enter "</t>
    </r>
    <r>
      <rPr>
        <b val="true"/>
        <i val="true"/>
        <sz val="11"/>
        <color theme="3" tint="0.2499"/>
        <rFont val="Aptos Narrow"/>
        <family val="2"/>
        <charset val="1"/>
      </rPr>
      <t xml:space="preserve">0</t>
    </r>
    <r>
      <rPr>
        <i val="true"/>
        <sz val="11"/>
        <color theme="3" tint="0.2499"/>
        <rFont val="Aptos Narrow"/>
        <family val="2"/>
        <charset val="1"/>
      </rPr>
      <t xml:space="preserve">" (zero)</t>
    </r>
  </si>
  <si>
    <r>
      <rPr>
        <i val="true"/>
        <sz val="11"/>
        <color theme="3" tint="0.2499"/>
        <rFont val="Aptos Narrow"/>
        <family val="2"/>
        <charset val="1"/>
      </rPr>
      <t xml:space="preserve">If </t>
    </r>
    <r>
      <rPr>
        <b val="true"/>
        <i val="true"/>
        <sz val="11"/>
        <color theme="3" tint="0.2499"/>
        <rFont val="Aptos Narrow"/>
        <family val="2"/>
        <charset val="1"/>
      </rPr>
      <t xml:space="preserve">more than one</t>
    </r>
    <r>
      <rPr>
        <i val="true"/>
        <sz val="11"/>
        <color theme="3" tint="0.2499"/>
        <rFont val="Aptos Narrow"/>
        <family val="2"/>
        <charset val="1"/>
      </rPr>
      <t xml:space="preserve"> CEC value is reported enter the </t>
    </r>
    <r>
      <rPr>
        <b val="true"/>
        <i val="true"/>
        <sz val="11"/>
        <color theme="3" tint="0.2499"/>
        <rFont val="Aptos Narrow"/>
        <family val="2"/>
        <charset val="1"/>
      </rPr>
      <t xml:space="preserve">lowest</t>
    </r>
    <r>
      <rPr>
        <i val="true"/>
        <sz val="11"/>
        <color theme="3" tint="0.2499"/>
        <rFont val="Aptos Narrow"/>
        <family val="2"/>
        <charset val="1"/>
      </rPr>
      <t xml:space="preserve"> one</t>
    </r>
  </si>
  <si>
    <r>
      <rPr>
        <sz val="11"/>
        <color theme="1"/>
        <rFont val="Aptos Narrow"/>
        <family val="2"/>
        <charset val="1"/>
      </rPr>
      <t xml:space="preserve">LRE (Exc-Al)</t>
    </r>
    <r>
      <rPr>
        <b val="true"/>
        <i val="true"/>
        <vertAlign val="superscript"/>
        <sz val="11"/>
        <color theme="1"/>
        <rFont val="Aptos Narrow"/>
        <family val="2"/>
        <charset val="1"/>
      </rPr>
      <t xml:space="preserve">y,z</t>
    </r>
  </si>
  <si>
    <r>
      <rPr>
        <sz val="11"/>
        <color theme="1"/>
        <rFont val="Aptos Narrow"/>
        <family val="2"/>
        <charset val="1"/>
      </rPr>
      <t xml:space="preserve">LRE</t>
    </r>
    <r>
      <rPr>
        <b val="true"/>
        <i val="true"/>
        <vertAlign val="superscript"/>
        <sz val="11"/>
        <color theme="1"/>
        <rFont val="Aptos Narrow"/>
        <family val="2"/>
        <charset val="1"/>
      </rPr>
      <t xml:space="preserve">z</t>
    </r>
  </si>
  <si>
    <r>
      <rPr>
        <b val="true"/>
        <i val="true"/>
        <vertAlign val="superscript"/>
        <sz val="11"/>
        <color theme="1"/>
        <rFont val="Aptos Narrow"/>
        <family val="2"/>
        <charset val="1"/>
      </rPr>
      <t xml:space="preserve">w</t>
    </r>
    <r>
      <rPr>
        <sz val="11"/>
        <color theme="1"/>
        <rFont val="Aptos Narrow"/>
        <family val="2"/>
        <charset val="1"/>
      </rPr>
      <t xml:space="preserve">If not reported enter "0" (zero)</t>
    </r>
  </si>
  <si>
    <r>
      <rPr>
        <b val="true"/>
        <i val="true"/>
        <vertAlign val="superscript"/>
        <sz val="11"/>
        <color theme="1"/>
        <rFont val="Aptos Narrow"/>
        <family val="2"/>
        <charset val="1"/>
      </rPr>
      <t xml:space="preserve">x</t>
    </r>
    <r>
      <rPr>
        <sz val="11"/>
        <color theme="1"/>
        <rFont val="Aptos Narrow"/>
        <family val="2"/>
        <charset val="1"/>
      </rPr>
      <t xml:space="preserve">Represents exchangeable acidity (may be represented differently than "H+Al" in soil test report)</t>
    </r>
  </si>
  <si>
    <r>
      <rPr>
        <b val="true"/>
        <i val="true"/>
        <vertAlign val="superscript"/>
        <sz val="11"/>
        <color theme="1"/>
        <rFont val="Aptos Narrow"/>
        <family val="2"/>
        <charset val="1"/>
      </rPr>
      <t xml:space="preserve">y</t>
    </r>
    <r>
      <rPr>
        <sz val="11"/>
        <color theme="1"/>
        <rFont val="Aptos Narrow"/>
        <family val="2"/>
        <charset val="1"/>
      </rPr>
      <t xml:space="preserve">If soil pH </t>
    </r>
    <r>
      <rPr>
        <b val="true"/>
        <sz val="11"/>
        <color theme="1"/>
        <rFont val="Aptos Narrow"/>
        <family val="2"/>
        <charset val="1"/>
      </rPr>
      <t xml:space="preserve">≤ 5.4</t>
    </r>
    <r>
      <rPr>
        <sz val="11"/>
        <color theme="1"/>
        <rFont val="Aptos Narrow"/>
        <family val="2"/>
        <charset val="1"/>
      </rPr>
      <t xml:space="preserve"> and </t>
    </r>
    <r>
      <rPr>
        <b val="true"/>
        <sz val="11"/>
        <color theme="1"/>
        <rFont val="Aptos Narrow"/>
        <family val="2"/>
        <charset val="1"/>
      </rPr>
      <t xml:space="preserve">"Exc-Al" &gt; "(H+Al)"</t>
    </r>
    <r>
      <rPr>
        <sz val="11"/>
        <color theme="1"/>
        <rFont val="Aptos Narrow"/>
        <family val="2"/>
        <charset val="1"/>
      </rPr>
      <t xml:space="preserve"> use </t>
    </r>
    <r>
      <rPr>
        <b val="true"/>
        <sz val="11"/>
        <color theme="1"/>
        <rFont val="Aptos Narrow"/>
        <family val="2"/>
        <charset val="1"/>
      </rPr>
      <t xml:space="preserve">"LRE (Exc-Al)"</t>
    </r>
  </si>
  <si>
    <r>
      <rPr>
        <b val="true"/>
        <sz val="11"/>
        <rFont val="Aptos Narrow"/>
        <family val="2"/>
        <charset val="1"/>
      </rPr>
      <t xml:space="preserve">Depth:</t>
    </r>
    <r>
      <rPr>
        <sz val="11"/>
        <rFont val="Aptos Narrow"/>
        <family val="2"/>
        <charset val="1"/>
      </rPr>
      <t xml:space="preserve"> This calculation considers sample depth of </t>
    </r>
    <r>
      <rPr>
        <b val="true"/>
        <sz val="11"/>
        <rFont val="Aptos Narrow"/>
        <family val="2"/>
        <charset val="1"/>
      </rPr>
      <t xml:space="preserve">0-6 in</t>
    </r>
    <r>
      <rPr>
        <sz val="11"/>
        <rFont val="Aptos Narrow"/>
        <family val="2"/>
        <charset val="1"/>
      </rPr>
      <t xml:space="preserve">. If sampling depth is not 0-6 in, use the depth conversion calculator in Table 7b or 7c of this worksheet. </t>
    </r>
  </si>
  <si>
    <t xml:space="preserve">Source: Kamprath (1970)</t>
  </si>
  <si>
    <t xml:space="preserve">Table 8. Product application conversion calculator</t>
  </si>
  <si>
    <t xml:space="preserve">Enter value</t>
  </si>
  <si>
    <r>
      <rPr>
        <sz val="11"/>
        <color theme="1"/>
        <rFont val="Aptos Narrow"/>
        <family val="2"/>
        <charset val="1"/>
      </rPr>
      <t xml:space="preserve">Calculated LRE</t>
    </r>
    <r>
      <rPr>
        <b val="true"/>
        <i val="true"/>
        <vertAlign val="superscript"/>
        <sz val="11"/>
        <color theme="1"/>
        <rFont val="Aptos Narrow"/>
        <family val="2"/>
        <charset val="1"/>
      </rPr>
      <t xml:space="preserve">x</t>
    </r>
  </si>
  <si>
    <r>
      <rPr>
        <sz val="11"/>
        <color theme="1"/>
        <rFont val="Aptos Narrow"/>
        <family val="2"/>
        <charset val="1"/>
      </rPr>
      <t xml:space="preserve">Sample depth</t>
    </r>
    <r>
      <rPr>
        <b val="true"/>
        <i val="true"/>
        <vertAlign val="superscript"/>
        <sz val="11"/>
        <color theme="1"/>
        <rFont val="Aptos Narrow"/>
        <family val="2"/>
        <charset val="1"/>
      </rPr>
      <t xml:space="preserve">y</t>
    </r>
  </si>
  <si>
    <t xml:space="preserve">in</t>
  </si>
  <si>
    <r>
      <rPr>
        <sz val="11"/>
        <color theme="1"/>
        <rFont val="Aptos Narrow"/>
        <family val="2"/>
        <charset val="1"/>
      </rPr>
      <t xml:space="preserve">Liming Material CCE</t>
    </r>
    <r>
      <rPr>
        <b val="true"/>
        <i val="true"/>
        <vertAlign val="superscript"/>
        <sz val="11"/>
        <color theme="1"/>
        <rFont val="Aptos Narrow"/>
        <family val="2"/>
        <charset val="1"/>
      </rPr>
      <t xml:space="preserve">z</t>
    </r>
  </si>
  <si>
    <t xml:space="preserve">percentage (%)</t>
  </si>
  <si>
    <r>
      <rPr>
        <b val="true"/>
        <sz val="14"/>
        <color theme="9" tint="-0.5"/>
        <rFont val="Aptos Narrow"/>
        <family val="2"/>
        <charset val="1"/>
      </rPr>
      <t xml:space="preserve"> Product</t>
    </r>
    <r>
      <rPr>
        <b val="true"/>
        <sz val="20"/>
        <color theme="9" tint="-0.5"/>
        <rFont val="Aptos Narrow"/>
        <family val="2"/>
        <charset val="1"/>
      </rPr>
      <t xml:space="preserve"> LRE</t>
    </r>
  </si>
  <si>
    <t xml:space="preserve">ton/acre</t>
  </si>
  <si>
    <r>
      <rPr>
        <b val="true"/>
        <i val="true"/>
        <vertAlign val="superscript"/>
        <sz val="11"/>
        <color theme="1"/>
        <rFont val="Aptos Narrow"/>
        <family val="2"/>
        <charset val="1"/>
      </rPr>
      <t xml:space="preserve">x</t>
    </r>
    <r>
      <rPr>
        <sz val="11"/>
        <color theme="1"/>
        <rFont val="Aptos Narrow"/>
        <family val="2"/>
        <charset val="1"/>
      </rPr>
      <t xml:space="preserve">Enter the default calculated LRE (sample depth of </t>
    </r>
    <r>
      <rPr>
        <b val="true"/>
        <sz val="11"/>
        <color theme="1"/>
        <rFont val="Aptos Narrow"/>
        <family val="2"/>
        <charset val="1"/>
      </rPr>
      <t xml:space="preserve">0-6 in</t>
    </r>
    <r>
      <rPr>
        <sz val="11"/>
        <color theme="1"/>
        <rFont val="Aptos Narrow"/>
        <family val="2"/>
        <charset val="1"/>
      </rPr>
      <t xml:space="preserve">)</t>
    </r>
  </si>
  <si>
    <r>
      <rPr>
        <b val="true"/>
        <i val="true"/>
        <vertAlign val="superscript"/>
        <sz val="11"/>
        <color theme="1"/>
        <rFont val="Aptos Narrow"/>
        <family val="2"/>
        <charset val="1"/>
      </rPr>
      <t xml:space="preserve">y</t>
    </r>
    <r>
      <rPr>
        <sz val="11"/>
        <color theme="1"/>
        <rFont val="Aptos Narrow"/>
        <family val="2"/>
        <charset val="1"/>
      </rPr>
      <t xml:space="preserve">For example, if sampling from 0 to 3 in (or 3 to 6 in), enter </t>
    </r>
    <r>
      <rPr>
        <b val="true"/>
        <sz val="11"/>
        <color theme="1"/>
        <rFont val="Aptos Narrow"/>
        <family val="2"/>
        <charset val="1"/>
      </rPr>
      <t xml:space="preserve">3</t>
    </r>
  </si>
  <si>
    <r>
      <rPr>
        <b val="true"/>
        <i val="true"/>
        <vertAlign val="superscript"/>
        <sz val="11"/>
        <color theme="1"/>
        <rFont val="Aptos Narrow"/>
        <family val="2"/>
        <charset val="1"/>
      </rPr>
      <t xml:space="preserve">z</t>
    </r>
    <r>
      <rPr>
        <sz val="11"/>
        <color theme="1"/>
        <rFont val="Aptos Narrow"/>
        <family val="2"/>
        <charset val="1"/>
      </rPr>
      <t xml:space="preserve">ECCE:  Effective Calcium Carbonate Equivalent (or CCE) of the lime material to be applied</t>
    </r>
  </si>
</sst>
</file>

<file path=xl/styles.xml><?xml version="1.0" encoding="utf-8"?>
<styleSheet xmlns="http://schemas.openxmlformats.org/spreadsheetml/2006/main">
  <numFmts count="5">
    <numFmt numFmtId="164" formatCode="General"/>
    <numFmt numFmtId="165" formatCode="0"/>
    <numFmt numFmtId="166" formatCode="@"/>
    <numFmt numFmtId="167" formatCode="0.0"/>
    <numFmt numFmtId="168" formatCode="#,##0"/>
  </numFmts>
  <fonts count="46">
    <font>
      <sz val="11"/>
      <color theme="1"/>
      <name val="Aptos Narrow"/>
      <family val="2"/>
      <charset val="1"/>
    </font>
    <font>
      <sz val="10"/>
      <name val="Arial"/>
      <family val="0"/>
    </font>
    <font>
      <sz val="10"/>
      <name val="Arial"/>
      <family val="0"/>
    </font>
    <font>
      <sz val="10"/>
      <name val="Arial"/>
      <family val="0"/>
    </font>
    <font>
      <b val="true"/>
      <sz val="11"/>
      <color rgb="FF000000"/>
      <name val="Aptos Narrow"/>
      <family val="2"/>
      <charset val="1"/>
    </font>
    <font>
      <sz val="11"/>
      <color rgb="FF000000"/>
      <name val="Aptos Narrow"/>
      <family val="2"/>
      <charset val="1"/>
    </font>
    <font>
      <i val="true"/>
      <sz val="11"/>
      <color rgb="FF000000"/>
      <name val="Aptos Narrow"/>
      <family val="2"/>
      <charset val="1"/>
    </font>
    <font>
      <b val="true"/>
      <sz val="11"/>
      <color theme="1"/>
      <name val="Aptos Narrow"/>
      <family val="2"/>
      <charset val="1"/>
    </font>
    <font>
      <b val="true"/>
      <i val="true"/>
      <vertAlign val="superscript"/>
      <sz val="11"/>
      <color theme="1"/>
      <name val="Aptos Narrow"/>
      <family val="2"/>
      <charset val="1"/>
    </font>
    <font>
      <sz val="11"/>
      <color theme="1"/>
      <name val="Calibri"/>
      <family val="2"/>
      <charset val="1"/>
    </font>
    <font>
      <i val="true"/>
      <sz val="11"/>
      <color rgb="FFFF0000"/>
      <name val="Aptos Narrow"/>
      <family val="2"/>
      <charset val="1"/>
    </font>
    <font>
      <b val="true"/>
      <sz val="11"/>
      <color theme="9" tint="-0.5"/>
      <name val="Aptos Narrow"/>
      <family val="2"/>
      <charset val="1"/>
    </font>
    <font>
      <vertAlign val="superscript"/>
      <sz val="11"/>
      <color theme="1"/>
      <name val="Aptos Narrow"/>
      <family val="2"/>
      <charset val="1"/>
    </font>
    <font>
      <b val="true"/>
      <i val="true"/>
      <sz val="11"/>
      <color theme="1"/>
      <name val="Aptos Narrow"/>
      <family val="2"/>
      <charset val="1"/>
    </font>
    <font>
      <sz val="10"/>
      <color theme="1"/>
      <name val="Aptos Narrow"/>
      <family val="2"/>
      <charset val="1"/>
    </font>
    <font>
      <b val="true"/>
      <sz val="10"/>
      <color theme="1"/>
      <name val="Aptos Narrow"/>
      <family val="2"/>
      <charset val="1"/>
    </font>
    <font>
      <b val="true"/>
      <sz val="18"/>
      <color theme="9" tint="-0.5"/>
      <name val="Aptos Narrow"/>
      <family val="2"/>
      <charset val="1"/>
    </font>
    <font>
      <b val="true"/>
      <i val="true"/>
      <vertAlign val="superscript"/>
      <sz val="11"/>
      <name val="Aptos Narrow"/>
      <family val="2"/>
      <charset val="1"/>
    </font>
    <font>
      <sz val="11"/>
      <name val="Aptos Narrow"/>
      <family val="2"/>
      <charset val="1"/>
    </font>
    <font>
      <b val="true"/>
      <sz val="11"/>
      <name val="Aptos Narrow"/>
      <family val="2"/>
      <charset val="1"/>
    </font>
    <font>
      <i val="true"/>
      <sz val="11"/>
      <color theme="1" tint="0.4999"/>
      <name val="Aptos Narrow"/>
      <family val="2"/>
      <charset val="1"/>
    </font>
    <font>
      <i val="true"/>
      <sz val="11"/>
      <name val="Aptos Narrow"/>
      <family val="2"/>
      <charset val="1"/>
    </font>
    <font>
      <sz val="13"/>
      <color theme="1"/>
      <name val="Aptos Narrow"/>
      <family val="2"/>
      <charset val="1"/>
    </font>
    <font>
      <b val="true"/>
      <sz val="13"/>
      <color theme="1"/>
      <name val="Aptos Narrow"/>
      <family val="2"/>
      <charset val="1"/>
    </font>
    <font>
      <vertAlign val="subscript"/>
      <sz val="11"/>
      <color theme="1"/>
      <name val="Aptos Narrow"/>
      <family val="2"/>
      <charset val="1"/>
    </font>
    <font>
      <sz val="11"/>
      <color theme="5" tint="0.7999"/>
      <name val="Aptos Narrow"/>
      <family val="2"/>
      <charset val="1"/>
    </font>
    <font>
      <vertAlign val="subscript"/>
      <sz val="11"/>
      <name val="Aptos Narrow"/>
      <family val="2"/>
      <charset val="1"/>
    </font>
    <font>
      <sz val="11"/>
      <color theme="2" tint="-0.5"/>
      <name val="Aptos Narrow"/>
      <family val="2"/>
      <charset val="1"/>
    </font>
    <font>
      <b val="true"/>
      <vertAlign val="superscript"/>
      <sz val="11"/>
      <name val="Aptos Narrow"/>
      <family val="2"/>
      <charset val="1"/>
    </font>
    <font>
      <i val="true"/>
      <sz val="11"/>
      <color theme="2" tint="-0.5"/>
      <name val="Aptos Narrow"/>
      <family val="2"/>
      <charset val="1"/>
    </font>
    <font>
      <sz val="11"/>
      <color theme="3" tint="0.8999"/>
      <name val="Aptos Narrow"/>
      <family val="2"/>
      <charset val="1"/>
    </font>
    <font>
      <sz val="12"/>
      <color theme="1"/>
      <name val="Aptos Narrow"/>
      <family val="2"/>
      <charset val="1"/>
    </font>
    <font>
      <sz val="12"/>
      <color theme="1"/>
      <name val="Calibri"/>
      <family val="2"/>
      <charset val="1"/>
    </font>
    <font>
      <i val="true"/>
      <sz val="11"/>
      <color theme="1"/>
      <name val="Aptos Narrow"/>
      <family val="2"/>
      <charset val="1"/>
    </font>
    <font>
      <i val="true"/>
      <vertAlign val="subscript"/>
      <sz val="11"/>
      <color theme="1"/>
      <name val="Aptos Narrow"/>
      <family val="2"/>
      <charset val="1"/>
    </font>
    <font>
      <i val="true"/>
      <sz val="11"/>
      <color theme="3" tint="0.2499"/>
      <name val="Aptos Narrow"/>
      <family val="2"/>
      <charset val="1"/>
    </font>
    <font>
      <b val="true"/>
      <i val="true"/>
      <sz val="11"/>
      <color theme="3" tint="0.2499"/>
      <name val="Aptos Narrow"/>
      <family val="2"/>
      <charset val="1"/>
    </font>
    <font>
      <b val="true"/>
      <i val="true"/>
      <vertAlign val="superscript"/>
      <sz val="12"/>
      <color theme="1"/>
      <name val="Aptos Narrow"/>
      <family val="2"/>
      <charset val="1"/>
    </font>
    <font>
      <b val="true"/>
      <i val="true"/>
      <vertAlign val="superscript"/>
      <sz val="11"/>
      <color theme="3" tint="0.2499"/>
      <name val="Aptos Narrow"/>
      <family val="2"/>
      <charset val="1"/>
    </font>
    <font>
      <b val="true"/>
      <i val="true"/>
      <sz val="11"/>
      <color theme="8" tint="-0.25"/>
      <name val="Aptos Narrow"/>
      <family val="2"/>
      <charset val="1"/>
    </font>
    <font>
      <i val="true"/>
      <sz val="11"/>
      <color theme="8" tint="-0.25"/>
      <name val="Aptos Narrow"/>
      <family val="2"/>
      <charset val="1"/>
    </font>
    <font>
      <i val="true"/>
      <sz val="12"/>
      <color theme="2" tint="-0.5"/>
      <name val="Aptos Narrow"/>
      <family val="2"/>
      <charset val="1"/>
    </font>
    <font>
      <b val="true"/>
      <sz val="11"/>
      <color theme="3" tint="0.8999"/>
      <name val="Aptos Narrow"/>
      <family val="2"/>
      <charset val="1"/>
    </font>
    <font>
      <b val="true"/>
      <sz val="14"/>
      <color theme="9" tint="-0.5"/>
      <name val="Aptos Narrow"/>
      <family val="2"/>
      <charset val="1"/>
    </font>
    <font>
      <b val="true"/>
      <sz val="20"/>
      <color theme="9" tint="-0.5"/>
      <name val="Aptos Narrow"/>
      <family val="2"/>
      <charset val="1"/>
    </font>
    <font>
      <sz val="14"/>
      <color theme="1"/>
      <name val="Aptos Narrow"/>
      <family val="2"/>
      <charset val="1"/>
    </font>
  </fonts>
  <fills count="11">
    <fill>
      <patternFill patternType="none"/>
    </fill>
    <fill>
      <patternFill patternType="gray125"/>
    </fill>
    <fill>
      <patternFill patternType="solid">
        <fgColor theme="0" tint="-0.05"/>
        <bgColor rgb="FFFFFFFF"/>
      </patternFill>
    </fill>
    <fill>
      <patternFill patternType="solid">
        <fgColor theme="7" tint="0.7999"/>
        <bgColor rgb="FFC1E5F5"/>
      </patternFill>
    </fill>
    <fill>
      <patternFill patternType="solid">
        <fgColor theme="0"/>
        <bgColor rgb="FFF2F2F2"/>
      </patternFill>
    </fill>
    <fill>
      <patternFill patternType="solid">
        <fgColor rgb="FFFFFFCC"/>
        <bgColor rgb="FFFFFFFF"/>
      </patternFill>
    </fill>
    <fill>
      <patternFill patternType="solid">
        <fgColor theme="9" tint="0.7999"/>
        <bgColor rgb="FFC2F1C8"/>
      </patternFill>
    </fill>
    <fill>
      <patternFill patternType="solid">
        <fgColor theme="5" tint="0.7999"/>
        <bgColor rgb="FFF2F2F2"/>
      </patternFill>
    </fill>
    <fill>
      <patternFill patternType="solid">
        <fgColor theme="4" tint="0.7999"/>
        <bgColor rgb="FFCAEEFB"/>
      </patternFill>
    </fill>
    <fill>
      <patternFill patternType="solid">
        <fgColor rgb="FFFFFF00"/>
        <bgColor rgb="FFFFFF00"/>
      </patternFill>
    </fill>
    <fill>
      <patternFill patternType="solid">
        <fgColor theme="6" tint="0.7999"/>
        <bgColor rgb="FFD9F2D0"/>
      </patternFill>
    </fill>
  </fills>
  <borders count="36">
    <border diagonalUp="false" diagonalDown="false">
      <left/>
      <right/>
      <top/>
      <botto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bottom style="thin"/>
      <diagonal/>
    </border>
    <border diagonalUp="false" diagonalDown="false">
      <left style="medium"/>
      <right style="medium"/>
      <top/>
      <bottom style="medium"/>
      <diagonal/>
    </border>
    <border diagonalUp="false" diagonalDown="false">
      <left/>
      <right/>
      <top/>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right style="medium"/>
      <top style="medium"/>
      <bottom/>
      <diagonal/>
    </border>
    <border diagonalUp="false" diagonalDown="false">
      <left style="medium"/>
      <right/>
      <top/>
      <bottom/>
      <diagonal/>
    </border>
    <border diagonalUp="false" diagonalDown="false">
      <left style="thin"/>
      <right style="thin"/>
      <top/>
      <bottom style="thin"/>
      <diagonal/>
    </border>
    <border diagonalUp="false" diagonalDown="false">
      <left/>
      <right style="medium"/>
      <top/>
      <bottom/>
      <diagonal/>
    </border>
    <border diagonalUp="false" diagonalDown="false">
      <left style="medium"/>
      <right/>
      <top/>
      <bottom style="thin"/>
      <diagonal/>
    </border>
    <border diagonalUp="false" diagonalDown="false">
      <left style="medium">
        <color theme="9" tint="-0.5"/>
      </left>
      <right style="medium"/>
      <top style="medium">
        <color theme="9" tint="-0.5"/>
      </top>
      <bottom style="medium">
        <color theme="9" tint="-0.5"/>
      </bottom>
      <diagonal/>
    </border>
    <border diagonalUp="false" diagonalDown="false">
      <left/>
      <right/>
      <top style="thin"/>
      <bottom/>
      <diagonal/>
    </border>
    <border diagonalUp="false" diagonalDown="false">
      <left style="thick">
        <color rgb="FFC00000"/>
      </left>
      <right style="medium"/>
      <top style="thick">
        <color rgb="FFC00000"/>
      </top>
      <bottom/>
      <diagonal/>
    </border>
    <border diagonalUp="false" diagonalDown="false">
      <left style="thick">
        <color theme="9" tint="-0.5"/>
      </left>
      <right style="medium"/>
      <top style="thick">
        <color theme="9" tint="-0.5"/>
      </top>
      <bottom style="thick">
        <color theme="9" tint="-0.5"/>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ck">
        <color theme="9" tint="-0.5"/>
      </left>
      <right style="thick">
        <color theme="9" tint="-0.5"/>
      </right>
      <top style="thick">
        <color theme="9" tint="-0.5"/>
      </top>
      <bottom style="thick">
        <color theme="9" tint="-0.5"/>
      </bottom>
      <diagonal/>
    </border>
    <border diagonalUp="false" diagonalDown="false">
      <left style="medium"/>
      <right/>
      <top style="medium"/>
      <bottom/>
      <diagonal/>
    </border>
    <border diagonalUp="false" diagonalDown="false">
      <left/>
      <right/>
      <top style="medium"/>
      <bottom/>
      <diagonal/>
    </border>
    <border diagonalUp="false" diagonalDown="false">
      <left style="thin"/>
      <right style="medium"/>
      <top/>
      <bottom/>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ck">
        <color theme="9" tint="-0.5"/>
      </left>
      <right style="thick">
        <color theme="9" tint="-0.5"/>
      </right>
      <top style="thick">
        <color theme="9" tint="-0.5"/>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right/>
      <top style="thin"/>
      <bottom style="thin"/>
      <diagonal/>
    </border>
    <border diagonalUp="false" diagonalDown="false">
      <left style="thin"/>
      <right style="thin"/>
      <top style="medium"/>
      <bottom style="thin"/>
      <diagonal/>
    </border>
    <border diagonalUp="false" diagonalDown="false">
      <left style="thin"/>
      <right style="thin"/>
      <top/>
      <bottom/>
      <diagonal/>
    </border>
    <border diagonalUp="false" diagonalDown="false">
      <left style="thick">
        <color theme="9" tint="-0.5"/>
      </left>
      <right style="thick">
        <color theme="9" tint="-0.5"/>
      </right>
      <top/>
      <bottom style="medium"/>
      <diagonal/>
    </border>
    <border diagonalUp="false" diagonalDown="false">
      <left style="thin"/>
      <right style="thin"/>
      <top style="medium"/>
      <bottom style="medium"/>
      <diagonal/>
    </border>
    <border diagonalUp="false" diagonalDown="false">
      <left style="medium">
        <color theme="9" tint="-0.5"/>
      </left>
      <right style="medium">
        <color theme="9" tint="-0.5"/>
      </right>
      <top style="medium">
        <color theme="9" tint="-0.5"/>
      </top>
      <bottom style="medium">
        <color theme="9" tint="-0.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true" indent="0" shrinkToFit="false"/>
      <protection locked="true" hidden="false"/>
    </xf>
    <xf numFmtId="164" fontId="4" fillId="0" borderId="2" xfId="0" applyFont="true" applyBorder="true" applyAlignment="true" applyProtection="true">
      <alignment horizontal="general" vertical="bottom" textRotation="0" wrapText="true" indent="0" shrinkToFit="false"/>
      <protection locked="true" hidden="false"/>
    </xf>
    <xf numFmtId="164" fontId="5" fillId="0" borderId="3" xfId="0" applyFont="true" applyBorder="true" applyAlignment="true" applyProtection="true">
      <alignment horizontal="general" vertical="bottom" textRotation="0" wrapText="true" indent="0" shrinkToFit="false"/>
      <protection locked="true" hidden="false"/>
    </xf>
    <xf numFmtId="164" fontId="6" fillId="0" borderId="4" xfId="0" applyFont="true" applyBorder="true" applyAlignment="true" applyProtection="true">
      <alignment horizontal="general" vertical="bottom" textRotation="0" wrapText="true" indent="0" shrinkToFit="false"/>
      <protection locked="true" hidden="false"/>
    </xf>
    <xf numFmtId="164" fontId="0" fillId="0" borderId="5" xfId="0" applyFont="true" applyBorder="true" applyAlignment="true" applyProtection="true">
      <alignment horizontal="left" vertical="bottom" textRotation="0" wrapText="false" indent="0" shrinkToFit="false"/>
      <protection locked="true" hidden="false"/>
    </xf>
    <xf numFmtId="164" fontId="7" fillId="3" borderId="6" xfId="0" applyFont="true" applyBorder="true" applyAlignment="true" applyProtection="true">
      <alignment horizontal="left" vertical="bottom" textRotation="0" wrapText="false" indent="0" shrinkToFit="false"/>
      <protection locked="true" hidden="false"/>
    </xf>
    <xf numFmtId="164" fontId="7" fillId="3" borderId="7" xfId="0" applyFont="true" applyBorder="true" applyAlignment="true" applyProtection="true">
      <alignment horizontal="left" vertical="bottom" textRotation="0" wrapText="false" indent="0" shrinkToFit="false"/>
      <protection locked="true" hidden="false"/>
    </xf>
    <xf numFmtId="164" fontId="7" fillId="3" borderId="8" xfId="0" applyFont="true" applyBorder="true" applyAlignment="true" applyProtection="true">
      <alignment horizontal="left" vertical="bottom" textRotation="0" wrapText="false" indent="0" shrinkToFit="false"/>
      <protection locked="true" hidden="false"/>
    </xf>
    <xf numFmtId="164" fontId="7" fillId="3" borderId="6" xfId="0" applyFont="true" applyBorder="true" applyAlignment="true" applyProtection="true">
      <alignment horizontal="center" vertical="bottom" textRotation="0" wrapText="false" indent="0" shrinkToFit="false"/>
      <protection locked="true" hidden="false"/>
    </xf>
    <xf numFmtId="164" fontId="7" fillId="3" borderId="9" xfId="0" applyFont="true" applyBorder="true" applyAlignment="true" applyProtection="true">
      <alignment horizontal="center" vertical="bottom" textRotation="0" wrapText="false" indent="0" shrinkToFit="false"/>
      <protection locked="true" hidden="false"/>
    </xf>
    <xf numFmtId="164" fontId="0" fillId="4" borderId="10" xfId="0" applyFont="true" applyBorder="true" applyAlignment="true" applyProtection="true">
      <alignment horizontal="left" vertical="center" textRotation="0" wrapText="false" indent="0" shrinkToFit="false"/>
      <protection locked="true" hidden="false"/>
    </xf>
    <xf numFmtId="164" fontId="9" fillId="4" borderId="0" xfId="0" applyFont="true" applyBorder="false" applyAlignment="true" applyProtection="true">
      <alignment horizontal="left" vertical="center" textRotation="0" wrapText="false" indent="0" shrinkToFit="false"/>
      <protection locked="true" hidden="false"/>
    </xf>
    <xf numFmtId="164" fontId="7" fillId="5" borderId="11" xfId="0" applyFont="true" applyBorder="true" applyAlignment="true" applyProtection="true">
      <alignment horizontal="left" vertical="center" textRotation="0" wrapText="false" indent="0" shrinkToFit="false"/>
      <protection locked="false" hidden="false"/>
    </xf>
    <xf numFmtId="164" fontId="10" fillId="4" borderId="12" xfId="0" applyFont="true" applyBorder="true" applyAlignment="true" applyProtection="true">
      <alignment horizontal="center" vertical="center" textRotation="0" wrapText="false" indent="0" shrinkToFit="false"/>
      <protection locked="true" hidden="false"/>
    </xf>
    <xf numFmtId="164" fontId="7" fillId="5" borderId="13" xfId="0" applyFont="true" applyBorder="true" applyAlignment="true" applyProtection="true">
      <alignment horizontal="center" vertical="center" textRotation="0" wrapText="false" indent="0" shrinkToFit="false"/>
      <protection locked="false" hidden="false"/>
    </xf>
    <xf numFmtId="165" fontId="11" fillId="6" borderId="14" xfId="0" applyFont="true" applyBorder="true" applyAlignment="true" applyProtection="true">
      <alignment horizontal="center" vertical="bottom" textRotation="0" wrapText="false" indent="0" shrinkToFit="false"/>
      <protection locked="true" hidden="false"/>
    </xf>
    <xf numFmtId="164" fontId="0" fillId="2" borderId="10" xfId="0" applyFont="true" applyBorder="true" applyAlignment="true" applyProtection="true">
      <alignment horizontal="left" vertical="center" textRotation="0" wrapText="false" indent="0" shrinkToFit="false"/>
      <protection locked="true" hidden="false"/>
    </xf>
    <xf numFmtId="164" fontId="0" fillId="2" borderId="0" xfId="0" applyFont="true" applyBorder="false" applyAlignment="true" applyProtection="true">
      <alignment horizontal="left" vertical="center" textRotation="0" wrapText="false" indent="0" shrinkToFit="false"/>
      <protection locked="true" hidden="false"/>
    </xf>
    <xf numFmtId="164" fontId="10" fillId="2" borderId="15" xfId="0" applyFont="true" applyBorder="true" applyAlignment="true" applyProtection="true">
      <alignment horizontal="center" vertical="center" textRotation="0" wrapText="false" indent="0" shrinkToFit="false"/>
      <protection locked="true" hidden="false"/>
    </xf>
    <xf numFmtId="164" fontId="13" fillId="2" borderId="16" xfId="0" applyFont="true" applyBorder="true" applyAlignment="true" applyProtection="true">
      <alignment horizontal="center" vertical="center" textRotation="0" wrapText="false" indent="0" shrinkToFit="false"/>
      <protection locked="true" hidden="false"/>
    </xf>
    <xf numFmtId="164" fontId="14" fillId="7" borderId="4" xfId="0" applyFont="true" applyBorder="true" applyAlignment="true" applyProtection="true">
      <alignment horizontal="left" vertical="top" textRotation="0" wrapText="true" indent="0" shrinkToFit="false"/>
      <protection locked="true" hidden="false"/>
    </xf>
    <xf numFmtId="164" fontId="0" fillId="4" borderId="0" xfId="0" applyFont="true" applyBorder="false" applyAlignment="true" applyProtection="true">
      <alignment horizontal="left" vertical="center" textRotation="0" wrapText="false" indent="0" shrinkToFit="false"/>
      <protection locked="true" hidden="false"/>
    </xf>
    <xf numFmtId="164" fontId="10" fillId="4" borderId="0" xfId="0" applyFont="true" applyBorder="false" applyAlignment="true" applyProtection="true">
      <alignment horizontal="center" vertical="center" textRotation="0" wrapText="false" indent="0" shrinkToFit="false"/>
      <protection locked="true" hidden="false"/>
    </xf>
    <xf numFmtId="165" fontId="16" fillId="6" borderId="17" xfId="0" applyFont="true" applyBorder="true" applyAlignment="true" applyProtection="true">
      <alignment horizontal="center" vertical="center" textRotation="0" wrapText="false" indent="0" shrinkToFit="false"/>
      <protection locked="true" hidden="false"/>
    </xf>
    <xf numFmtId="164" fontId="17" fillId="7" borderId="1" xfId="0" applyFont="true" applyBorder="true" applyAlignment="true" applyProtection="true">
      <alignment horizontal="left" vertical="bottom" textRotation="0" wrapText="false" indent="0" shrinkToFit="false"/>
      <protection locked="true" hidden="false"/>
    </xf>
    <xf numFmtId="164" fontId="17" fillId="7" borderId="2" xfId="0" applyFont="true" applyBorder="true" applyAlignment="true" applyProtection="true">
      <alignment horizontal="left" vertical="center" textRotation="0" wrapText="true" indent="0" shrinkToFit="false"/>
      <protection locked="true" hidden="false"/>
    </xf>
    <xf numFmtId="164" fontId="19" fillId="7" borderId="4" xfId="0" applyFont="true" applyBorder="true" applyAlignment="true" applyProtection="true">
      <alignment horizontal="left" vertical="bottom" textRotation="0" wrapText="tru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false"/>
    </xf>
    <xf numFmtId="164" fontId="21" fillId="4" borderId="0" xfId="0" applyFont="true" applyBorder="false" applyAlignment="true" applyProtection="true">
      <alignment horizontal="general" vertical="bottom" textRotation="0" wrapText="false" indent="0" shrinkToFit="false"/>
      <protection locked="true" hidden="false"/>
    </xf>
    <xf numFmtId="164" fontId="22" fillId="5" borderId="18" xfId="0" applyFont="true" applyBorder="true" applyAlignment="true" applyProtection="true">
      <alignment horizontal="general" vertical="bottom" textRotation="0" wrapText="false" indent="0" shrinkToFit="false"/>
      <protection locked="true" hidden="false"/>
    </xf>
    <xf numFmtId="164" fontId="22" fillId="5" borderId="19" xfId="0" applyFont="true" applyBorder="tru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5" borderId="20" xfId="0" applyFont="true" applyBorder="true" applyAlignment="true" applyProtection="true">
      <alignment horizontal="left" vertical="center" textRotation="0" wrapText="false" indent="0" shrinkToFit="false"/>
      <protection locked="false" hidden="false"/>
    </xf>
    <xf numFmtId="164" fontId="10" fillId="2" borderId="12" xfId="0" applyFont="true" applyBorder="true" applyAlignment="true" applyProtection="true">
      <alignment horizontal="center" vertical="center" textRotation="0" wrapText="false" indent="0" shrinkToFit="false"/>
      <protection locked="true" hidden="false"/>
    </xf>
    <xf numFmtId="164" fontId="9" fillId="2" borderId="0" xfId="0" applyFont="true" applyBorder="false" applyAlignment="true" applyProtection="true">
      <alignment horizontal="left" vertical="center" textRotation="0" wrapText="false" indent="0" shrinkToFit="false"/>
      <protection locked="true" hidden="false"/>
    </xf>
    <xf numFmtId="164" fontId="10" fillId="4" borderId="15" xfId="0" applyFont="true" applyBorder="true" applyAlignment="true" applyProtection="true">
      <alignment horizontal="center" vertical="center" textRotation="0" wrapText="false" indent="0" shrinkToFit="false"/>
      <protection locked="true" hidden="false"/>
    </xf>
    <xf numFmtId="165" fontId="16" fillId="6" borderId="21" xfId="0" applyFont="true" applyBorder="true" applyAlignment="true" applyProtection="true">
      <alignment horizontal="general" vertical="center" textRotation="0" wrapText="false" indent="0" shrinkToFit="false"/>
      <protection locked="true" hidden="false"/>
    </xf>
    <xf numFmtId="164" fontId="21" fillId="7" borderId="2" xfId="0" applyFont="true" applyBorder="true" applyAlignment="true" applyProtection="true">
      <alignment horizontal="left" vertical="bottom" textRotation="0" wrapText="false" indent="0" shrinkToFit="false"/>
      <protection locked="true" hidden="false"/>
    </xf>
    <xf numFmtId="164" fontId="25" fillId="7" borderId="22" xfId="0" applyFont="true" applyBorder="true" applyAlignment="true" applyProtection="true">
      <alignment horizontal="left" vertical="top" textRotation="0" wrapText="false" indent="0" shrinkToFit="false"/>
      <protection locked="true" hidden="false"/>
    </xf>
    <xf numFmtId="164" fontId="21" fillId="7" borderId="23" xfId="0" applyFont="true" applyBorder="true" applyAlignment="true" applyProtection="true">
      <alignment horizontal="left" vertical="top" textRotation="0" wrapText="false" indent="0" shrinkToFit="false"/>
      <protection locked="true" hidden="false"/>
    </xf>
    <xf numFmtId="164" fontId="21" fillId="7" borderId="12" xfId="0" applyFont="true" applyBorder="true" applyAlignment="true" applyProtection="true">
      <alignment horizontal="left" vertical="top" textRotation="0" wrapText="false" indent="0" shrinkToFit="false"/>
      <protection locked="true" hidden="false"/>
    </xf>
    <xf numFmtId="164" fontId="17" fillId="7" borderId="2" xfId="0" applyFont="true" applyBorder="true" applyAlignment="true" applyProtection="true">
      <alignment horizontal="left" vertical="top" textRotation="0" wrapText="false" indent="0" shrinkToFit="false"/>
      <protection locked="true" hidden="false"/>
    </xf>
    <xf numFmtId="164" fontId="21" fillId="7" borderId="10" xfId="0" applyFont="true" applyBorder="true" applyAlignment="true" applyProtection="true">
      <alignment horizontal="left" vertical="top" textRotation="0" wrapText="false" indent="0" shrinkToFit="false"/>
      <protection locked="true" hidden="false"/>
    </xf>
    <xf numFmtId="164" fontId="21" fillId="7" borderId="0" xfId="0" applyFont="true" applyBorder="false" applyAlignment="true" applyProtection="true">
      <alignment horizontal="left" vertical="top" textRotation="0" wrapText="false" indent="0" shrinkToFit="false"/>
      <protection locked="true" hidden="false"/>
    </xf>
    <xf numFmtId="164" fontId="17" fillId="7" borderId="10" xfId="0" applyFont="true" applyBorder="true" applyAlignment="true" applyProtection="true">
      <alignment horizontal="left" vertical="top" textRotation="0" wrapText="false" indent="0" shrinkToFit="false"/>
      <protection locked="true" hidden="false"/>
    </xf>
    <xf numFmtId="164" fontId="18" fillId="7" borderId="0" xfId="0" applyFont="true" applyBorder="false" applyAlignment="true" applyProtection="true">
      <alignment horizontal="left" vertical="top" textRotation="0" wrapText="false" indent="0" shrinkToFit="false"/>
      <protection locked="true" hidden="false"/>
    </xf>
    <xf numFmtId="164" fontId="18" fillId="7" borderId="12" xfId="0" applyFont="true" applyBorder="true" applyAlignment="true" applyProtection="true">
      <alignment horizontal="left" vertical="top" textRotation="0" wrapText="false" indent="0" shrinkToFit="false"/>
      <protection locked="true" hidden="false"/>
    </xf>
    <xf numFmtId="164" fontId="27" fillId="4" borderId="23" xfId="0" applyFont="true" applyBorder="true" applyAlignment="true" applyProtection="true">
      <alignment horizontal="left" vertical="bottom" textRotation="0" wrapText="false" indent="0" shrinkToFit="false"/>
      <protection locked="true" hidden="false"/>
    </xf>
    <xf numFmtId="164" fontId="0" fillId="7" borderId="4" xfId="0" applyFont="true" applyBorder="true" applyAlignment="true" applyProtection="true">
      <alignment horizontal="center" vertical="top" textRotation="0" wrapText="true" indent="0" shrinkToFit="false"/>
      <protection locked="true" hidden="false"/>
    </xf>
    <xf numFmtId="164" fontId="0" fillId="7" borderId="4" xfId="0" applyFont="true" applyBorder="true" applyAlignment="true" applyProtection="true">
      <alignment horizontal="center" vertical="center" textRotation="0" wrapText="true" indent="0" shrinkToFit="false"/>
      <protection locked="true" hidden="false"/>
    </xf>
    <xf numFmtId="164" fontId="28" fillId="7" borderId="12" xfId="0" applyFont="true" applyBorder="true" applyAlignment="true" applyProtection="true">
      <alignment horizontal="left" vertical="bottom" textRotation="0" wrapText="false" indent="0" shrinkToFit="false"/>
      <protection locked="true" hidden="false"/>
    </xf>
    <xf numFmtId="164" fontId="17" fillId="7" borderId="12" xfId="0" applyFont="true" applyBorder="true" applyAlignment="true" applyProtection="true">
      <alignment horizontal="left" vertical="bottom" textRotation="0" wrapText="false" indent="0" shrinkToFit="false"/>
      <protection locked="true" hidden="false"/>
    </xf>
    <xf numFmtId="164" fontId="29" fillId="4" borderId="23" xfId="0" applyFont="true" applyBorder="true" applyAlignment="true" applyProtection="true">
      <alignment horizontal="left" vertical="bottom" textRotation="0" wrapText="false" indent="0" shrinkToFit="false"/>
      <protection locked="true" hidden="false"/>
    </xf>
    <xf numFmtId="164" fontId="10" fillId="2" borderId="24" xfId="0" applyFont="true" applyBorder="true" applyAlignment="true" applyProtection="true">
      <alignment horizontal="center" vertical="center" textRotation="0" wrapText="false" indent="0" shrinkToFit="false"/>
      <protection locked="true" hidden="false"/>
    </xf>
    <xf numFmtId="165" fontId="16" fillId="6" borderId="2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6" fontId="30" fillId="3" borderId="7" xfId="0" applyFont="true" applyBorder="true" applyAlignment="true" applyProtection="true">
      <alignment horizontal="left" vertical="center" textRotation="0" wrapText="false" indent="0" shrinkToFit="false"/>
      <protection locked="true" hidden="false"/>
    </xf>
    <xf numFmtId="166" fontId="7" fillId="3" borderId="7" xfId="0" applyFont="true" applyBorder="true" applyAlignment="true" applyProtection="true">
      <alignment horizontal="left" vertical="bottom" textRotation="0" wrapText="false" indent="0" shrinkToFit="false"/>
      <protection locked="true" hidden="false"/>
    </xf>
    <xf numFmtId="166" fontId="7" fillId="8" borderId="7" xfId="0" applyFont="true" applyBorder="true" applyAlignment="true" applyProtection="true">
      <alignment horizontal="left" vertical="center" textRotation="0" wrapText="false" indent="0" shrinkToFit="false"/>
      <protection locked="true" hidden="false"/>
    </xf>
    <xf numFmtId="166" fontId="7" fillId="8" borderId="8" xfId="0" applyFont="true" applyBorder="true" applyAlignment="true" applyProtection="true">
      <alignment horizontal="left" vertical="center" textRotation="0" wrapText="false" indent="0" shrinkToFit="false"/>
      <protection locked="true" hidden="false"/>
    </xf>
    <xf numFmtId="164" fontId="31" fillId="4" borderId="10" xfId="0" applyFont="true" applyBorder="true" applyAlignment="true" applyProtection="true">
      <alignment horizontal="left" vertical="center" textRotation="0" wrapText="false" indent="0" shrinkToFit="false"/>
      <protection locked="true" hidden="false"/>
    </xf>
    <xf numFmtId="164" fontId="32" fillId="4" borderId="0" xfId="0" applyFont="true" applyBorder="false" applyAlignment="true" applyProtection="true">
      <alignment horizontal="left" vertical="center" textRotation="0" wrapText="false" indent="0" shrinkToFit="false"/>
      <protection locked="true" hidden="false"/>
    </xf>
    <xf numFmtId="166" fontId="7" fillId="4" borderId="0" xfId="0" applyFont="true" applyBorder="false" applyAlignment="true" applyProtection="true">
      <alignment horizontal="left"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31" fillId="2" borderId="10" xfId="0" applyFont="true" applyBorder="true" applyAlignment="true" applyProtection="true">
      <alignment horizontal="left" vertical="center" textRotation="0" wrapText="false" indent="0" shrinkToFit="false"/>
      <protection locked="true" hidden="false"/>
    </xf>
    <xf numFmtId="164" fontId="31" fillId="2" borderId="0" xfId="0" applyFont="true" applyBorder="false" applyAlignment="true" applyProtection="true">
      <alignment horizontal="left" vertical="center" textRotation="0" wrapText="false" indent="0" shrinkToFit="false"/>
      <protection locked="true" hidden="false"/>
    </xf>
    <xf numFmtId="164" fontId="10" fillId="2" borderId="0" xfId="0" applyFont="true" applyBorder="false" applyAlignment="true" applyProtection="true">
      <alignment horizontal="center" vertical="center" textRotation="0" wrapText="false" indent="0" shrinkToFit="false"/>
      <protection locked="true" hidden="false"/>
    </xf>
    <xf numFmtId="164" fontId="33" fillId="2" borderId="0" xfId="0" applyFont="true" applyBorder="false" applyAlignment="true" applyProtection="true">
      <alignment horizontal="left" vertical="center" textRotation="0" wrapText="false" indent="0" shrinkToFit="false"/>
      <protection locked="true" hidden="false"/>
    </xf>
    <xf numFmtId="164" fontId="35" fillId="2" borderId="0" xfId="0" applyFont="true" applyBorder="false" applyAlignment="true" applyProtection="true">
      <alignment horizontal="left" vertical="center" textRotation="0" wrapText="false" indent="0" shrinkToFit="false"/>
      <protection locked="true" hidden="false"/>
    </xf>
    <xf numFmtId="164" fontId="7" fillId="9" borderId="25" xfId="0" applyFont="true" applyBorder="true" applyAlignment="true" applyProtection="true">
      <alignment horizontal="center" vertical="center" textRotation="0" wrapText="false" indent="0" shrinkToFit="false"/>
      <protection locked="false" hidden="false"/>
    </xf>
    <xf numFmtId="167" fontId="31" fillId="2" borderId="12" xfId="0" applyFont="true" applyBorder="true" applyAlignment="true" applyProtection="true">
      <alignment horizontal="center" vertical="center" textRotation="0" wrapText="false" indent="0" shrinkToFit="false"/>
      <protection locked="true" hidden="false"/>
    </xf>
    <xf numFmtId="164" fontId="14" fillId="7" borderId="4" xfId="0" applyFont="true" applyBorder="true" applyAlignment="true" applyProtection="true">
      <alignment horizontal="center" vertical="top" textRotation="0" wrapText="true" indent="0" shrinkToFit="false"/>
      <protection locked="true" hidden="false"/>
    </xf>
    <xf numFmtId="164" fontId="31" fillId="4" borderId="0" xfId="0" applyFont="true" applyBorder="false" applyAlignment="true" applyProtection="true">
      <alignment horizontal="left" vertical="center" textRotation="0" wrapText="false" indent="0" shrinkToFit="false"/>
      <protection locked="true" hidden="false"/>
    </xf>
    <xf numFmtId="164" fontId="33" fillId="4" borderId="0" xfId="0" applyFont="true" applyBorder="false" applyAlignment="true" applyProtection="true">
      <alignment horizontal="left" vertical="center" textRotation="0" wrapText="false" indent="0" shrinkToFit="false"/>
      <protection locked="true" hidden="false"/>
    </xf>
    <xf numFmtId="164" fontId="35" fillId="4" borderId="0" xfId="0" applyFont="true" applyBorder="false" applyAlignment="true" applyProtection="true">
      <alignment horizontal="left" vertical="center" textRotation="0" wrapText="false" indent="0" shrinkToFit="false"/>
      <protection locked="true" hidden="false"/>
    </xf>
    <xf numFmtId="167" fontId="31" fillId="4" borderId="12" xfId="0" applyFont="true" applyBorder="true" applyAlignment="true" applyProtection="true">
      <alignment horizontal="center" vertical="center" textRotation="0" wrapText="false" indent="0" shrinkToFit="false"/>
      <protection locked="true" hidden="false"/>
    </xf>
    <xf numFmtId="164" fontId="7" fillId="5" borderId="26" xfId="0" applyFont="true" applyBorder="true" applyAlignment="true" applyProtection="true">
      <alignment horizontal="left" vertical="center" textRotation="0" wrapText="false" indent="0" shrinkToFit="false"/>
      <protection locked="false" hidden="false"/>
    </xf>
    <xf numFmtId="164" fontId="7" fillId="9" borderId="4" xfId="0" applyFont="true" applyBorder="true" applyAlignment="true" applyProtection="true">
      <alignment horizontal="center" vertical="center" textRotation="0" wrapText="false" indent="0" shrinkToFit="false"/>
      <protection locked="false" hidden="false"/>
    </xf>
    <xf numFmtId="164" fontId="7" fillId="9" borderId="25" xfId="0" applyFont="true" applyBorder="true" applyAlignment="true" applyProtection="true">
      <alignment horizontal="left" vertical="center" textRotation="0" wrapText="false" indent="0" shrinkToFit="false"/>
      <protection locked="false" hidden="false"/>
    </xf>
    <xf numFmtId="167" fontId="13" fillId="2" borderId="0" xfId="0" applyFont="true" applyBorder="false" applyAlignment="true" applyProtection="true">
      <alignment horizontal="center" vertical="center" textRotation="0" wrapText="false" indent="0" shrinkToFit="false"/>
      <protection locked="true" hidden="false"/>
    </xf>
    <xf numFmtId="164" fontId="39" fillId="2" borderId="0" xfId="0" applyFont="true" applyBorder="false" applyAlignment="true" applyProtection="true">
      <alignment horizontal="left" vertical="center" textRotation="0" wrapText="false" indent="0" shrinkToFit="false"/>
      <protection locked="true" hidden="false"/>
    </xf>
    <xf numFmtId="164" fontId="40" fillId="2" borderId="12" xfId="0" applyFont="true" applyBorder="true" applyAlignment="true" applyProtection="true">
      <alignment horizontal="left" vertical="center" textRotation="0" wrapText="false" indent="0" shrinkToFit="false"/>
      <protection locked="true" hidden="false"/>
    </xf>
    <xf numFmtId="164" fontId="35" fillId="4" borderId="12" xfId="0" applyFont="true" applyBorder="true" applyAlignment="true" applyProtection="true">
      <alignment horizontal="left" vertical="center" textRotation="0" wrapText="false" indent="0" shrinkToFit="false"/>
      <protection locked="true" hidden="false"/>
    </xf>
    <xf numFmtId="164" fontId="31" fillId="2" borderId="0" xfId="0" applyFont="true" applyBorder="true" applyAlignment="true" applyProtection="true">
      <alignment horizontal="left" vertical="center" textRotation="0" wrapText="false" indent="0" shrinkToFit="false"/>
      <protection locked="true" hidden="false"/>
    </xf>
    <xf numFmtId="167" fontId="13" fillId="2" borderId="0" xfId="0" applyFont="true" applyBorder="true" applyAlignment="true" applyProtection="true">
      <alignment horizontal="center" vertical="center" textRotation="0" wrapText="false" indent="0" shrinkToFit="false"/>
      <protection locked="true" hidden="false"/>
    </xf>
    <xf numFmtId="164" fontId="33" fillId="2" borderId="0" xfId="0" applyFont="true" applyBorder="true" applyAlignment="true" applyProtection="true">
      <alignment horizontal="left" vertical="center" textRotation="0" wrapText="false" indent="0" shrinkToFit="false"/>
      <protection locked="true" hidden="false"/>
    </xf>
    <xf numFmtId="164" fontId="35" fillId="2" borderId="12" xfId="0" applyFont="true" applyBorder="true" applyAlignment="true" applyProtection="true">
      <alignment horizontal="left" vertical="center" textRotation="0" wrapText="false" indent="0" shrinkToFit="false"/>
      <protection locked="true" hidden="false"/>
    </xf>
    <xf numFmtId="167" fontId="13" fillId="4" borderId="0" xfId="0" applyFont="true" applyBorder="false" applyAlignment="true" applyProtection="true">
      <alignment horizontal="center" vertical="center" textRotation="0" wrapText="false" indent="0" shrinkToFit="false"/>
      <protection locked="true" hidden="false"/>
    </xf>
    <xf numFmtId="164" fontId="0" fillId="2" borderId="12" xfId="0" applyFont="false" applyBorder="true" applyAlignment="true" applyProtection="true">
      <alignment horizontal="left" vertical="center" textRotation="0" wrapText="false" indent="0" shrinkToFit="false"/>
      <protection locked="true" hidden="false"/>
    </xf>
    <xf numFmtId="165" fontId="16" fillId="6" borderId="27" xfId="0" applyFont="true" applyBorder="true" applyAlignment="true" applyProtection="true">
      <alignment horizontal="center" vertical="center" textRotation="0" wrapText="false" indent="0" shrinkToFit="false"/>
      <protection locked="true" hidden="false"/>
    </xf>
    <xf numFmtId="164" fontId="0" fillId="4" borderId="12" xfId="0" applyFont="false" applyBorder="true" applyAlignment="true" applyProtection="true">
      <alignment horizontal="left" vertical="center" textRotation="0" wrapText="false" indent="0" shrinkToFit="false"/>
      <protection locked="true" hidden="false"/>
    </xf>
    <xf numFmtId="164" fontId="8" fillId="7" borderId="22" xfId="0" applyFont="true" applyBorder="true" applyAlignment="true" applyProtection="true">
      <alignment horizontal="left" vertical="bottom" textRotation="0" wrapText="false" indent="0" shrinkToFit="false"/>
      <protection locked="true" hidden="false"/>
    </xf>
    <xf numFmtId="164" fontId="0" fillId="7" borderId="23" xfId="0" applyFont="false" applyBorder="true" applyAlignment="true" applyProtection="true">
      <alignment horizontal="left" vertical="bottom" textRotation="0" wrapText="false" indent="0" shrinkToFit="false"/>
      <protection locked="true" hidden="false"/>
    </xf>
    <xf numFmtId="164" fontId="0" fillId="7" borderId="9" xfId="0" applyFont="false" applyBorder="true" applyAlignment="true" applyProtection="true">
      <alignment horizontal="left" vertical="bottom" textRotation="0" wrapText="false" indent="0" shrinkToFit="false"/>
      <protection locked="true" hidden="false"/>
    </xf>
    <xf numFmtId="164" fontId="8" fillId="7" borderId="10" xfId="0" applyFont="true" applyBorder="true" applyAlignment="true" applyProtection="true">
      <alignment horizontal="left" vertical="bottom" textRotation="0" wrapText="false" indent="0" shrinkToFit="false"/>
      <protection locked="true" hidden="false"/>
    </xf>
    <xf numFmtId="164" fontId="0" fillId="7" borderId="0" xfId="0" applyFont="false" applyBorder="false" applyAlignment="true" applyProtection="true">
      <alignment horizontal="left" vertical="bottom" textRotation="0" wrapText="false" indent="0" shrinkToFit="false"/>
      <protection locked="true" hidden="false"/>
    </xf>
    <xf numFmtId="164" fontId="0" fillId="7" borderId="12" xfId="0" applyFont="false" applyBorder="true" applyAlignment="true" applyProtection="true">
      <alignment horizontal="left" vertical="bottom" textRotation="0" wrapText="false" indent="0" shrinkToFit="false"/>
      <protection locked="true" hidden="false"/>
    </xf>
    <xf numFmtId="164" fontId="17" fillId="7" borderId="10" xfId="0" applyFont="true" applyBorder="true" applyAlignment="true" applyProtection="true">
      <alignment horizontal="left" vertical="center" textRotation="0" wrapText="true" indent="0" shrinkToFit="false"/>
      <protection locked="true" hidden="false"/>
    </xf>
    <xf numFmtId="164" fontId="18" fillId="7" borderId="0" xfId="0" applyFont="true" applyBorder="false" applyAlignment="true" applyProtection="true">
      <alignment horizontal="left" vertical="center" textRotation="0" wrapText="true" indent="0" shrinkToFit="false"/>
      <protection locked="true" hidden="false"/>
    </xf>
    <xf numFmtId="164" fontId="18" fillId="7" borderId="12" xfId="0" applyFont="true" applyBorder="true" applyAlignment="true" applyProtection="true">
      <alignment horizontal="left" vertical="center" textRotation="0" wrapText="true" indent="0" shrinkToFit="false"/>
      <protection locked="true" hidden="false"/>
    </xf>
    <xf numFmtId="164" fontId="18" fillId="7" borderId="10" xfId="0" applyFont="true" applyBorder="true" applyAlignment="true" applyProtection="true">
      <alignment horizontal="left" vertical="center" textRotation="0" wrapText="true" indent="0" shrinkToFit="false"/>
      <protection locked="true" hidden="false"/>
    </xf>
    <xf numFmtId="164" fontId="19" fillId="7" borderId="28" xfId="0" applyFont="true" applyBorder="true" applyAlignment="true" applyProtection="true">
      <alignment horizontal="left" vertical="bottom" textRotation="0" wrapText="true" indent="0" shrinkToFit="false"/>
      <protection locked="true" hidden="false"/>
    </xf>
    <xf numFmtId="164" fontId="18" fillId="7" borderId="5" xfId="0" applyFont="true" applyBorder="true" applyAlignment="true" applyProtection="true">
      <alignment horizontal="left" vertical="bottom" textRotation="0" wrapText="true" indent="0" shrinkToFit="false"/>
      <protection locked="true" hidden="false"/>
    </xf>
    <xf numFmtId="164" fontId="18" fillId="7" borderId="29" xfId="0" applyFont="true" applyBorder="true" applyAlignment="true" applyProtection="true">
      <alignment horizontal="left" vertical="bottom" textRotation="0" wrapText="true" indent="0" shrinkToFit="false"/>
      <protection locked="true" hidden="false"/>
    </xf>
    <xf numFmtId="164" fontId="41" fillId="4" borderId="0" xfId="0" applyFont="true" applyBorder="false" applyAlignment="true" applyProtection="true">
      <alignment horizontal="left" vertical="top" textRotation="0" wrapText="false" indent="0" shrinkToFit="false"/>
      <protection locked="true" hidden="false"/>
    </xf>
    <xf numFmtId="164" fontId="22" fillId="5" borderId="30" xfId="0" applyFont="true" applyBorder="true" applyAlignment="true" applyProtection="true">
      <alignment horizontal="general" vertical="bottom" textRotation="0" wrapText="false" indent="0" shrinkToFit="false"/>
      <protection locked="true" hidden="false"/>
    </xf>
    <xf numFmtId="164" fontId="22" fillId="9" borderId="25" xfId="0" applyFont="true" applyBorder="true" applyAlignment="true" applyProtection="true">
      <alignment horizontal="general" vertical="bottom" textRotation="0" wrapText="false" indent="0" shrinkToFit="false"/>
      <protection locked="true" hidden="false"/>
    </xf>
    <xf numFmtId="166" fontId="42" fillId="3" borderId="7" xfId="0" applyFont="true" applyBorder="true" applyAlignment="true" applyProtection="true">
      <alignment horizontal="center" vertical="bottom" textRotation="0" wrapText="false" indent="0" shrinkToFit="false"/>
      <protection locked="true" hidden="false"/>
    </xf>
    <xf numFmtId="164" fontId="0" fillId="4" borderId="22" xfId="0" applyFont="true" applyBorder="true" applyAlignment="true" applyProtection="true">
      <alignment horizontal="left" vertical="center" textRotation="0" wrapText="false" indent="0" shrinkToFit="false"/>
      <protection locked="true" hidden="false"/>
    </xf>
    <xf numFmtId="164" fontId="9" fillId="4" borderId="23" xfId="0" applyFont="true" applyBorder="true" applyAlignment="true" applyProtection="true">
      <alignment horizontal="left" vertical="center" textRotation="0" wrapText="false" indent="0" shrinkToFit="false"/>
      <protection locked="true" hidden="false"/>
    </xf>
    <xf numFmtId="164" fontId="7" fillId="5" borderId="31" xfId="0" applyFont="true" applyBorder="true" applyAlignment="true" applyProtection="true">
      <alignment horizontal="left" vertical="center" textRotation="0" wrapText="false" indent="0" shrinkToFit="false"/>
      <protection locked="false" hidden="false"/>
    </xf>
    <xf numFmtId="164" fontId="10" fillId="4" borderId="23" xfId="0" applyFont="true" applyBorder="true" applyAlignment="true" applyProtection="true">
      <alignment horizontal="center" vertical="center" textRotation="0" wrapText="false" indent="0" shrinkToFit="false"/>
      <protection locked="true" hidden="false"/>
    </xf>
    <xf numFmtId="166" fontId="7" fillId="4" borderId="23" xfId="0" applyFont="true" applyBorder="true" applyAlignment="true" applyProtection="true">
      <alignment horizontal="left" vertical="center" textRotation="0" wrapText="false" indent="0" shrinkToFit="false"/>
      <protection locked="true" hidden="false"/>
    </xf>
    <xf numFmtId="164" fontId="0" fillId="4" borderId="23" xfId="0" applyFont="false" applyBorder="true" applyAlignment="true" applyProtection="true">
      <alignment horizontal="general" vertical="bottom" textRotation="0" wrapText="false" indent="0" shrinkToFit="false"/>
      <protection locked="true" hidden="false"/>
    </xf>
    <xf numFmtId="164" fontId="0" fillId="4" borderId="9" xfId="0" applyFont="false" applyBorder="true" applyAlignment="true" applyProtection="true">
      <alignment horizontal="general" vertical="bottom" textRotation="0" wrapText="false" indent="0" shrinkToFit="false"/>
      <protection locked="true" hidden="false"/>
    </xf>
    <xf numFmtId="164" fontId="0" fillId="0" borderId="7" xfId="0" applyFont="true" applyBorder="true" applyAlignment="true" applyProtection="true">
      <alignment horizontal="left" vertical="bottom" textRotation="0" wrapText="false" indent="0" shrinkToFit="false"/>
      <protection locked="true" hidden="false"/>
    </xf>
    <xf numFmtId="164" fontId="7" fillId="5" borderId="32" xfId="0" applyFont="true" applyBorder="true" applyAlignment="true" applyProtection="true">
      <alignment horizontal="left" vertical="center" textRotation="0" wrapText="false" indent="0" shrinkToFit="false"/>
      <protection locked="false" hidden="false"/>
    </xf>
    <xf numFmtId="167" fontId="10" fillId="4" borderId="0" xfId="0" applyFont="true" applyBorder="false" applyAlignment="true" applyProtection="true">
      <alignment horizontal="center" vertical="center" textRotation="0" wrapText="false" indent="0" shrinkToFit="false"/>
      <protection locked="true" hidden="false"/>
    </xf>
    <xf numFmtId="164" fontId="7" fillId="2" borderId="0" xfId="0" applyFont="true" applyBorder="false" applyAlignment="true" applyProtection="true">
      <alignment horizontal="left" vertical="center" textRotation="0" wrapText="false" indent="0" shrinkToFit="false"/>
      <protection locked="true" hidden="false"/>
    </xf>
    <xf numFmtId="164" fontId="31" fillId="2" borderId="12" xfId="0" applyFont="true" applyBorder="true" applyAlignment="true" applyProtection="true">
      <alignment horizontal="center" vertical="center" textRotation="0" wrapText="false" indent="0" shrinkToFit="false"/>
      <protection locked="true" hidden="false"/>
    </xf>
    <xf numFmtId="164" fontId="0" fillId="4" borderId="0" xfId="0" applyFont="true" applyBorder="true" applyAlignment="true" applyProtection="true">
      <alignment horizontal="left" vertical="center" textRotation="0" wrapText="false" indent="0" shrinkToFit="false"/>
      <protection locked="true" hidden="false"/>
    </xf>
    <xf numFmtId="167" fontId="13" fillId="4" borderId="0" xfId="0" applyFont="true" applyBorder="true" applyAlignment="true" applyProtection="true">
      <alignment horizontal="center" vertical="center" textRotation="0" wrapText="false" indent="0" shrinkToFit="false"/>
      <protection locked="true" hidden="false"/>
    </xf>
    <xf numFmtId="164" fontId="33" fillId="4" borderId="0" xfId="0" applyFont="true" applyBorder="true" applyAlignment="true" applyProtection="true">
      <alignment horizontal="left" vertical="center" textRotation="0" wrapText="false" indent="0" shrinkToFit="false"/>
      <protection locked="true" hidden="false"/>
    </xf>
    <xf numFmtId="164" fontId="0" fillId="4" borderId="28" xfId="0" applyFont="true" applyBorder="true" applyAlignment="true" applyProtection="true">
      <alignment horizontal="left" vertical="center" textRotation="0" wrapText="false" indent="0" shrinkToFit="false"/>
      <protection locked="true" hidden="false"/>
    </xf>
    <xf numFmtId="164" fontId="0" fillId="4" borderId="5" xfId="0" applyFont="true" applyBorder="true" applyAlignment="true" applyProtection="true">
      <alignment horizontal="left" vertical="center" textRotation="0" wrapText="false" indent="0" shrinkToFit="false"/>
      <protection locked="true" hidden="false"/>
    </xf>
    <xf numFmtId="164" fontId="10" fillId="4" borderId="5" xfId="0" applyFont="true" applyBorder="true" applyAlignment="true" applyProtection="true">
      <alignment horizontal="center" vertical="center" textRotation="0" wrapText="false" indent="0" shrinkToFit="false"/>
      <protection locked="true" hidden="false"/>
    </xf>
    <xf numFmtId="165" fontId="16" fillId="6" borderId="33" xfId="0" applyFont="true" applyBorder="true" applyAlignment="true" applyProtection="true">
      <alignment horizontal="center" vertical="center" textRotation="0" wrapText="false" indent="0" shrinkToFit="false"/>
      <protection locked="true" hidden="false"/>
    </xf>
    <xf numFmtId="164" fontId="0" fillId="4" borderId="29" xfId="0" applyFont="false" applyBorder="true" applyAlignment="true" applyProtection="true">
      <alignment horizontal="left" vertical="center" textRotation="0" wrapText="false" indent="0" shrinkToFit="false"/>
      <protection locked="true" hidden="false"/>
    </xf>
    <xf numFmtId="164" fontId="8" fillId="7" borderId="1" xfId="0" applyFont="true" applyBorder="true" applyAlignment="true" applyProtection="true">
      <alignment horizontal="left" vertical="bottom" textRotation="0" wrapText="false" indent="0" shrinkToFit="false"/>
      <protection locked="true" hidden="false"/>
    </xf>
    <xf numFmtId="164" fontId="8" fillId="7" borderId="2" xfId="0" applyFont="true" applyBorder="true" applyAlignment="true" applyProtection="true">
      <alignment horizontal="left" vertical="bottom" textRotation="0" wrapText="false" indent="0" shrinkToFit="false"/>
      <protection locked="true" hidden="false"/>
    </xf>
    <xf numFmtId="164" fontId="18" fillId="7" borderId="2" xfId="0" applyFont="true" applyBorder="true" applyAlignment="true" applyProtection="true">
      <alignment horizontal="left" vertical="center" textRotation="0" wrapText="tru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22" fillId="5" borderId="20" xfId="0" applyFont="true" applyBorder="true" applyAlignment="true" applyProtection="true">
      <alignment horizontal="center" vertical="bottom" textRotation="0" wrapText="false" indent="0" shrinkToFit="false"/>
      <protection locked="true" hidden="false"/>
    </xf>
    <xf numFmtId="164" fontId="22" fillId="9" borderId="20"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left" vertical="bottom" textRotation="0" wrapText="false" indent="0" shrinkToFit="false"/>
      <protection locked="true" hidden="false"/>
    </xf>
    <xf numFmtId="164" fontId="0" fillId="3" borderId="6" xfId="0" applyFont="false" applyBorder="true" applyAlignment="true" applyProtection="true">
      <alignment horizontal="general" vertical="bottom" textRotation="0" wrapText="false" indent="0" shrinkToFit="false"/>
      <protection locked="true" hidden="false"/>
    </xf>
    <xf numFmtId="164" fontId="7" fillId="5" borderId="34" xfId="0" applyFont="true" applyBorder="true" applyAlignment="true" applyProtection="true">
      <alignment horizontal="general" vertical="bottom" textRotation="0" wrapText="false" indent="0" shrinkToFit="false"/>
      <protection locked="true" hidden="false"/>
    </xf>
    <xf numFmtId="164" fontId="7" fillId="3" borderId="8" xfId="0" applyFont="true" applyBorder="true" applyAlignment="true" applyProtection="true">
      <alignment horizontal="general" vertical="bottom" textRotation="0" wrapText="false" indent="0" shrinkToFit="false"/>
      <protection locked="true" hidden="false"/>
    </xf>
    <xf numFmtId="164" fontId="0" fillId="4" borderId="10" xfId="0" applyFont="true" applyBorder="true" applyAlignment="true" applyProtection="true">
      <alignment horizontal="general" vertical="bottom" textRotation="0" wrapText="false" indent="0" shrinkToFit="false"/>
      <protection locked="true" hidden="false"/>
    </xf>
    <xf numFmtId="168" fontId="7" fillId="5" borderId="11" xfId="0" applyFont="true" applyBorder="true" applyAlignment="true" applyProtection="true">
      <alignment horizontal="left" vertical="center" textRotation="0" wrapText="false" indent="0" shrinkToFit="false"/>
      <protection locked="false" hidden="false"/>
    </xf>
    <xf numFmtId="164" fontId="0" fillId="4" borderId="12" xfId="0" applyFont="true" applyBorder="true" applyAlignment="true" applyProtection="true">
      <alignment horizontal="general" vertical="bottom" textRotation="0" wrapText="false" indent="0" shrinkToFit="false"/>
      <protection locked="true" hidden="false"/>
    </xf>
    <xf numFmtId="164" fontId="0" fillId="2" borderId="10" xfId="0" applyFont="true" applyBorder="true" applyAlignment="true" applyProtection="true">
      <alignment horizontal="general" vertical="bottom" textRotation="0" wrapText="false" indent="0" shrinkToFit="false"/>
      <protection locked="true" hidden="false"/>
    </xf>
    <xf numFmtId="164" fontId="0" fillId="2" borderId="12" xfId="0" applyFont="true" applyBorder="true" applyAlignment="true" applyProtection="true">
      <alignment horizontal="general" vertical="bottom" textRotation="0" wrapText="false" indent="0" shrinkToFit="false"/>
      <protection locked="true" hidden="false"/>
    </xf>
    <xf numFmtId="164" fontId="43" fillId="6" borderId="10" xfId="0" applyFont="true" applyBorder="true" applyAlignment="true" applyProtection="true">
      <alignment horizontal="center" vertical="center" textRotation="0" wrapText="false" indent="0" shrinkToFit="false"/>
      <protection locked="true" hidden="false"/>
    </xf>
    <xf numFmtId="165" fontId="16" fillId="6" borderId="35" xfId="0" applyFont="true" applyBorder="true" applyAlignment="true" applyProtection="true">
      <alignment horizontal="center" vertical="bottom" textRotation="0" wrapText="false" indent="0" shrinkToFit="false"/>
      <protection locked="true" hidden="false"/>
    </xf>
    <xf numFmtId="164" fontId="45" fillId="6" borderId="12" xfId="0" applyFont="true" applyBorder="true" applyAlignment="true" applyProtection="true">
      <alignment horizontal="left" vertical="bottom" textRotation="0" wrapText="false" indent="0" shrinkToFit="false"/>
      <protection locked="true" hidden="false"/>
    </xf>
    <xf numFmtId="167" fontId="43" fillId="6" borderId="35" xfId="0" applyFont="true" applyBorder="true" applyAlignment="true" applyProtection="true">
      <alignment horizontal="center" vertical="bottom" textRotation="0" wrapText="false" indent="0" shrinkToFit="false"/>
      <protection locked="true" hidden="false"/>
    </xf>
    <xf numFmtId="164" fontId="45" fillId="10" borderId="12" xfId="0" applyFont="true" applyBorder="true" applyAlignment="true" applyProtection="true">
      <alignment horizontal="left" vertical="bottom" textRotation="0" wrapText="false" indent="0" shrinkToFit="false"/>
      <protection locked="true" hidden="false"/>
    </xf>
    <xf numFmtId="164" fontId="8" fillId="7" borderId="2" xfId="0" applyFont="true" applyBorder="true" applyAlignment="true" applyProtection="true">
      <alignment horizontal="left" vertical="bottom" textRotation="0" wrapText="true" indent="0" shrinkToFit="false"/>
      <protection locked="true" hidden="false"/>
    </xf>
    <xf numFmtId="164" fontId="8" fillId="7" borderId="28" xfId="0" applyFont="true" applyBorder="true" applyAlignment="true" applyProtection="true">
      <alignment horizontal="general" vertical="bottom" textRotation="0" wrapText="false" indent="0" shrinkToFit="false"/>
      <protection locked="true" hidden="false"/>
    </xf>
    <xf numFmtId="164" fontId="0" fillId="7" borderId="5" xfId="0" applyFont="false" applyBorder="true" applyAlignment="true" applyProtection="true">
      <alignment horizontal="general" vertical="bottom" textRotation="0" wrapText="false" indent="0" shrinkToFit="false"/>
      <protection locked="true" hidden="false"/>
    </xf>
    <xf numFmtId="164" fontId="0" fillId="7" borderId="29"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F2F2F2"/>
      <rgbColor rgb="FF7F7F7F"/>
      <rgbColor rgb="FF9999FF"/>
      <rgbColor rgb="FF78206E"/>
      <rgbColor rgb="FFFFFFCC"/>
      <rgbColor rgb="FFCAEEFB"/>
      <rgbColor rgb="FF660066"/>
      <rgbColor rgb="FFFF8080"/>
      <rgbColor rgb="FF215F9A"/>
      <rgbColor rgb="FFC1E5F5"/>
      <rgbColor rgb="FF000080"/>
      <rgbColor rgb="FFFF00FF"/>
      <rgbColor rgb="FFFFFF00"/>
      <rgbColor rgb="FF00FFFF"/>
      <rgbColor rgb="FF800080"/>
      <rgbColor rgb="FF800000"/>
      <rgbColor rgb="FF008080"/>
      <rgbColor rgb="FF0000FF"/>
      <rgbColor rgb="FF00CCFF"/>
      <rgbColor rgb="FFDCEAF7"/>
      <rgbColor rgb="FFC2F1C8"/>
      <rgbColor rgb="FFD9F2D0"/>
      <rgbColor rgb="FF99CCFF"/>
      <rgbColor rgb="FFFF99CC"/>
      <rgbColor rgb="FFCC99FF"/>
      <rgbColor rgb="FFFBE3D6"/>
      <rgbColor rgb="FF3366FF"/>
      <rgbColor rgb="FF33CCCC"/>
      <rgbColor rgb="FF99CC00"/>
      <rgbColor rgb="FFFFCC00"/>
      <rgbColor rgb="FFFF9900"/>
      <rgbColor rgb="FFFF6600"/>
      <rgbColor rgb="FF747474"/>
      <rgbColor rgb="FF969696"/>
      <rgbColor rgb="FF003366"/>
      <rgbColor rgb="FF339966"/>
      <rgbColor rgb="FF003300"/>
      <rgbColor rgb="FF275317"/>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8.5390625" defaultRowHeight="15" customHeight="true" zeroHeight="false" outlineLevelRow="0" outlineLevelCol="0"/>
  <cols>
    <col collapsed="false" customWidth="true" hidden="false" outlineLevel="0" max="1" min="1" style="1" width="83.72"/>
  </cols>
  <sheetData>
    <row r="1" customFormat="false" ht="16.5" hidden="false" customHeight="true" outlineLevel="0" collapsed="false">
      <c r="A1" s="2" t="s">
        <v>0</v>
      </c>
      <c r="B1" s="3"/>
      <c r="C1" s="3"/>
      <c r="D1" s="3"/>
      <c r="E1" s="3"/>
      <c r="F1" s="3"/>
      <c r="G1" s="3"/>
      <c r="H1" s="3"/>
      <c r="I1" s="3"/>
      <c r="J1" s="3"/>
      <c r="K1" s="3"/>
      <c r="L1" s="3"/>
      <c r="M1" s="3"/>
      <c r="N1" s="3"/>
      <c r="O1" s="3"/>
      <c r="P1" s="3"/>
      <c r="Q1" s="3"/>
      <c r="R1" s="3"/>
      <c r="S1" s="3"/>
    </row>
    <row r="2" customFormat="false" ht="57.75" hidden="false" customHeight="true" outlineLevel="0" collapsed="false">
      <c r="A2" s="4" t="s">
        <v>1</v>
      </c>
      <c r="B2" s="3"/>
      <c r="C2" s="3"/>
      <c r="D2" s="3"/>
      <c r="E2" s="3"/>
      <c r="F2" s="3"/>
      <c r="G2" s="3"/>
      <c r="H2" s="3"/>
      <c r="I2" s="3"/>
      <c r="J2" s="3"/>
      <c r="K2" s="3"/>
      <c r="L2" s="3"/>
      <c r="M2" s="3"/>
      <c r="N2" s="3"/>
      <c r="O2" s="3"/>
      <c r="P2" s="3"/>
      <c r="Q2" s="3"/>
      <c r="R2" s="3"/>
      <c r="S2" s="3"/>
    </row>
    <row r="3" customFormat="false" ht="82.5" hidden="false" customHeight="true" outlineLevel="0" collapsed="false">
      <c r="A3" s="5" t="s">
        <v>2</v>
      </c>
      <c r="B3" s="3"/>
      <c r="C3" s="3"/>
      <c r="D3" s="3"/>
      <c r="E3" s="3"/>
      <c r="F3" s="3"/>
      <c r="G3" s="3"/>
      <c r="H3" s="3"/>
      <c r="I3" s="3"/>
      <c r="J3" s="3"/>
      <c r="K3" s="3"/>
      <c r="L3" s="3"/>
      <c r="M3" s="3"/>
      <c r="N3" s="3"/>
      <c r="O3" s="3"/>
      <c r="P3" s="3"/>
      <c r="Q3" s="3"/>
      <c r="R3" s="3"/>
      <c r="S3" s="3"/>
    </row>
    <row r="4" customFormat="false" ht="60" hidden="false" customHeight="true" outlineLevel="0" collapsed="false">
      <c r="A4" s="4" t="s">
        <v>3</v>
      </c>
      <c r="B4" s="3"/>
      <c r="C4" s="3"/>
      <c r="D4" s="3"/>
      <c r="E4" s="3"/>
      <c r="F4" s="3"/>
      <c r="G4" s="3"/>
      <c r="H4" s="3"/>
      <c r="I4" s="3"/>
      <c r="J4" s="3"/>
      <c r="K4" s="3"/>
      <c r="L4" s="3"/>
      <c r="M4" s="3"/>
      <c r="N4" s="3"/>
      <c r="O4" s="3"/>
      <c r="P4" s="3"/>
      <c r="Q4" s="3"/>
      <c r="R4" s="3"/>
      <c r="S4" s="3"/>
    </row>
    <row r="5" customFormat="false" ht="69.75" hidden="false" customHeight="true" outlineLevel="0" collapsed="false">
      <c r="A5" s="6" t="s">
        <v>4</v>
      </c>
      <c r="B5" s="3"/>
      <c r="C5" s="3"/>
      <c r="D5" s="3"/>
      <c r="E5" s="3"/>
      <c r="F5" s="3"/>
      <c r="G5" s="3"/>
      <c r="H5" s="3"/>
      <c r="I5" s="3"/>
      <c r="J5" s="3"/>
      <c r="K5" s="3"/>
      <c r="L5" s="3"/>
      <c r="M5" s="3"/>
      <c r="N5" s="3"/>
      <c r="O5" s="3"/>
      <c r="P5" s="3"/>
      <c r="Q5" s="3"/>
      <c r="R5" s="3"/>
      <c r="S5" s="3"/>
    </row>
    <row r="6" customFormat="false" ht="22.5" hidden="false" customHeight="true" outlineLevel="0" collapsed="false">
      <c r="A6" s="7" t="s">
        <v>5</v>
      </c>
      <c r="B6" s="3"/>
      <c r="C6" s="3"/>
      <c r="D6" s="3"/>
      <c r="E6" s="3"/>
      <c r="F6" s="3"/>
      <c r="G6" s="3"/>
      <c r="H6" s="3"/>
      <c r="I6" s="3"/>
      <c r="J6" s="3"/>
      <c r="K6" s="3"/>
      <c r="L6" s="3"/>
      <c r="M6" s="3"/>
      <c r="N6" s="3"/>
      <c r="O6" s="3"/>
      <c r="P6" s="3"/>
      <c r="Q6" s="3"/>
      <c r="R6" s="3"/>
      <c r="S6" s="3"/>
    </row>
    <row r="7" customFormat="false" ht="15" hidden="false" customHeight="false" outlineLevel="0" collapsed="false">
      <c r="A7" s="3"/>
      <c r="B7" s="3"/>
      <c r="C7" s="3"/>
      <c r="D7" s="3"/>
      <c r="E7" s="3"/>
      <c r="F7" s="3"/>
      <c r="G7" s="3"/>
      <c r="H7" s="3"/>
      <c r="I7" s="3"/>
      <c r="J7" s="3"/>
      <c r="K7" s="3"/>
      <c r="L7" s="3"/>
      <c r="M7" s="3"/>
      <c r="N7" s="3"/>
      <c r="O7" s="3"/>
      <c r="P7" s="3"/>
      <c r="Q7" s="3"/>
      <c r="R7" s="3"/>
      <c r="S7" s="3"/>
    </row>
    <row r="8" customFormat="false" ht="15" hidden="false" customHeight="false" outlineLevel="0" collapsed="false">
      <c r="A8" s="3"/>
      <c r="B8" s="3"/>
      <c r="C8" s="3"/>
      <c r="D8" s="3"/>
      <c r="E8" s="3"/>
      <c r="F8" s="3"/>
      <c r="G8" s="3"/>
      <c r="H8" s="3"/>
      <c r="I8" s="3"/>
      <c r="J8" s="3"/>
      <c r="K8" s="3"/>
      <c r="L8" s="3"/>
      <c r="M8" s="3"/>
      <c r="N8" s="3"/>
      <c r="O8" s="3"/>
      <c r="P8" s="3"/>
      <c r="Q8" s="3"/>
      <c r="R8" s="3"/>
      <c r="S8" s="3"/>
    </row>
    <row r="9" customFormat="false" ht="15" hidden="false" customHeight="false" outlineLevel="0" collapsed="false">
      <c r="A9" s="3"/>
      <c r="B9" s="3"/>
      <c r="C9" s="3"/>
      <c r="D9" s="3"/>
      <c r="E9" s="3"/>
      <c r="F9" s="3"/>
      <c r="G9" s="3"/>
      <c r="H9" s="3"/>
      <c r="I9" s="3"/>
      <c r="J9" s="3"/>
      <c r="K9" s="3"/>
      <c r="L9" s="3"/>
      <c r="M9" s="3"/>
      <c r="N9" s="3"/>
      <c r="O9" s="3"/>
      <c r="P9" s="3"/>
      <c r="Q9" s="3"/>
      <c r="R9" s="3"/>
      <c r="S9" s="3"/>
    </row>
    <row r="10" customFormat="false" ht="15" hidden="false" customHeight="false" outlineLevel="0" collapsed="false">
      <c r="A10" s="3"/>
      <c r="B10" s="3"/>
      <c r="C10" s="3"/>
      <c r="D10" s="3"/>
      <c r="E10" s="3"/>
      <c r="F10" s="3"/>
      <c r="G10" s="3"/>
      <c r="H10" s="3"/>
      <c r="I10" s="3"/>
      <c r="J10" s="3"/>
      <c r="K10" s="3"/>
      <c r="L10" s="3"/>
      <c r="M10" s="3"/>
      <c r="N10" s="3"/>
      <c r="O10" s="3"/>
      <c r="P10" s="3"/>
      <c r="Q10" s="3"/>
      <c r="R10" s="3"/>
      <c r="S10" s="3"/>
    </row>
    <row r="11" customFormat="false" ht="15" hidden="false" customHeight="false" outlineLevel="0" collapsed="false">
      <c r="A11" s="3"/>
      <c r="B11" s="3"/>
      <c r="C11" s="3"/>
      <c r="D11" s="3"/>
      <c r="E11" s="3"/>
      <c r="F11" s="3"/>
      <c r="G11" s="3"/>
      <c r="H11" s="3"/>
      <c r="I11" s="3"/>
      <c r="J11" s="3"/>
      <c r="K11" s="3"/>
      <c r="L11" s="3"/>
      <c r="M11" s="3"/>
      <c r="N11" s="3"/>
      <c r="O11" s="3"/>
      <c r="P11" s="3"/>
      <c r="Q11" s="3"/>
      <c r="R11" s="3"/>
      <c r="S11" s="3"/>
    </row>
    <row r="12" customFormat="false" ht="15" hidden="false" customHeight="false" outlineLevel="0" collapsed="false">
      <c r="A12" s="3"/>
      <c r="B12" s="3"/>
      <c r="C12" s="3"/>
      <c r="D12" s="3"/>
      <c r="E12" s="3"/>
      <c r="F12" s="3"/>
      <c r="G12" s="3"/>
      <c r="H12" s="3"/>
      <c r="I12" s="3"/>
      <c r="J12" s="3"/>
      <c r="K12" s="3"/>
      <c r="L12" s="3"/>
      <c r="M12" s="3"/>
      <c r="N12" s="3"/>
      <c r="O12" s="3"/>
      <c r="P12" s="3"/>
      <c r="Q12" s="3"/>
      <c r="R12" s="3"/>
      <c r="S12" s="3"/>
    </row>
    <row r="13" customFormat="false" ht="15" hidden="false" customHeight="false" outlineLevel="0" collapsed="false">
      <c r="A13" s="3"/>
      <c r="B13" s="3"/>
      <c r="C13" s="3"/>
      <c r="D13" s="3"/>
      <c r="E13" s="3"/>
      <c r="F13" s="3"/>
      <c r="G13" s="3"/>
      <c r="H13" s="3"/>
      <c r="I13" s="3"/>
      <c r="J13" s="3"/>
      <c r="K13" s="3"/>
      <c r="L13" s="3"/>
      <c r="M13" s="3"/>
      <c r="N13" s="3"/>
      <c r="O13" s="3"/>
      <c r="P13" s="3"/>
      <c r="Q13" s="3"/>
      <c r="R13" s="3"/>
      <c r="S13" s="3"/>
    </row>
    <row r="14" customFormat="false" ht="15" hidden="false" customHeight="false" outlineLevel="0" collapsed="false">
      <c r="A14" s="3"/>
      <c r="B14" s="3"/>
      <c r="C14" s="3"/>
      <c r="D14" s="3"/>
      <c r="E14" s="3"/>
      <c r="F14" s="3"/>
      <c r="G14" s="3"/>
      <c r="H14" s="3"/>
      <c r="I14" s="3"/>
      <c r="J14" s="3"/>
      <c r="K14" s="3"/>
      <c r="L14" s="3"/>
      <c r="M14" s="3"/>
      <c r="N14" s="3"/>
      <c r="O14" s="3"/>
      <c r="P14" s="3"/>
      <c r="Q14" s="3"/>
      <c r="R14" s="3"/>
      <c r="S14" s="3"/>
    </row>
    <row r="15" customFormat="false" ht="15" hidden="false" customHeight="false" outlineLevel="0" collapsed="false">
      <c r="A15" s="3"/>
      <c r="B15" s="3"/>
      <c r="C15" s="3"/>
      <c r="D15" s="3"/>
      <c r="E15" s="3"/>
      <c r="F15" s="3"/>
      <c r="G15" s="3"/>
      <c r="H15" s="3"/>
      <c r="I15" s="3"/>
      <c r="J15" s="3"/>
      <c r="K15" s="3"/>
      <c r="L15" s="3"/>
      <c r="M15" s="3"/>
      <c r="N15" s="3"/>
      <c r="O15" s="3"/>
      <c r="P15" s="3"/>
      <c r="Q15" s="3"/>
      <c r="R15" s="3"/>
      <c r="S15" s="3"/>
    </row>
    <row r="16" customFormat="false" ht="15" hidden="false" customHeight="false" outlineLevel="0" collapsed="false">
      <c r="A16" s="3"/>
      <c r="B16" s="3"/>
      <c r="C16" s="3"/>
      <c r="D16" s="3"/>
      <c r="E16" s="3"/>
      <c r="F16" s="3"/>
      <c r="G16" s="3"/>
      <c r="H16" s="3"/>
      <c r="I16" s="3"/>
      <c r="J16" s="3"/>
      <c r="K16" s="3"/>
      <c r="L16" s="3"/>
      <c r="M16" s="3"/>
      <c r="N16" s="3"/>
      <c r="O16" s="3"/>
      <c r="P16" s="3"/>
      <c r="Q16" s="3"/>
      <c r="R16" s="3"/>
      <c r="S16" s="3"/>
    </row>
    <row r="17" customFormat="false" ht="15" hidden="false" customHeight="false" outlineLevel="0" collapsed="false">
      <c r="A17" s="3"/>
      <c r="B17" s="3"/>
      <c r="C17" s="3"/>
      <c r="D17" s="3"/>
      <c r="E17" s="3"/>
      <c r="F17" s="3"/>
      <c r="G17" s="3"/>
      <c r="H17" s="3"/>
      <c r="I17" s="3"/>
      <c r="J17" s="3"/>
      <c r="K17" s="3"/>
      <c r="L17" s="3"/>
      <c r="M17" s="3"/>
      <c r="N17" s="3"/>
      <c r="O17" s="3"/>
      <c r="P17" s="3"/>
      <c r="Q17" s="3"/>
      <c r="R17" s="3"/>
      <c r="S17" s="3"/>
    </row>
    <row r="18" customFormat="false" ht="15" hidden="false" customHeight="false" outlineLevel="0" collapsed="false">
      <c r="A18" s="3"/>
      <c r="B18" s="3"/>
      <c r="C18" s="3"/>
      <c r="D18" s="3"/>
      <c r="E18" s="3"/>
      <c r="F18" s="3"/>
      <c r="G18" s="3"/>
      <c r="H18" s="3"/>
      <c r="I18" s="3"/>
      <c r="J18" s="3"/>
      <c r="K18" s="3"/>
      <c r="L18" s="3"/>
      <c r="M18" s="3"/>
      <c r="N18" s="3"/>
      <c r="O18" s="3"/>
      <c r="P18" s="3"/>
      <c r="Q18" s="3"/>
      <c r="R18" s="3"/>
      <c r="S18" s="3"/>
    </row>
    <row r="19" customFormat="false" ht="15" hidden="false" customHeight="false" outlineLevel="0" collapsed="false">
      <c r="A19" s="3"/>
      <c r="B19" s="3"/>
      <c r="C19" s="3"/>
      <c r="D19" s="3"/>
      <c r="E19" s="3"/>
      <c r="F19" s="3"/>
      <c r="G19" s="3"/>
      <c r="H19" s="3"/>
      <c r="I19" s="3"/>
      <c r="J19" s="3"/>
      <c r="K19" s="3"/>
      <c r="L19" s="3"/>
      <c r="M19" s="3"/>
      <c r="N19" s="3"/>
      <c r="O19" s="3"/>
      <c r="P19" s="3"/>
      <c r="Q19" s="3"/>
      <c r="R19" s="3"/>
      <c r="S19" s="3"/>
    </row>
    <row r="20" customFormat="false" ht="15" hidden="false" customHeight="false" outlineLevel="0" collapsed="false">
      <c r="A20" s="3"/>
      <c r="B20" s="3"/>
      <c r="C20" s="3"/>
      <c r="D20" s="3"/>
      <c r="E20" s="3"/>
      <c r="F20" s="3"/>
      <c r="G20" s="3"/>
      <c r="H20" s="3"/>
      <c r="I20" s="3"/>
      <c r="J20" s="3"/>
      <c r="K20" s="3"/>
      <c r="L20" s="3"/>
      <c r="M20" s="3"/>
      <c r="N20" s="3"/>
      <c r="O20" s="3"/>
      <c r="P20" s="3"/>
      <c r="Q20" s="3"/>
      <c r="R20" s="3"/>
      <c r="S20" s="3"/>
    </row>
    <row r="21" customFormat="false" ht="15" hidden="false" customHeight="false" outlineLevel="0" collapsed="false">
      <c r="A21" s="3"/>
      <c r="B21" s="3"/>
      <c r="C21" s="3"/>
      <c r="D21" s="3"/>
      <c r="E21" s="3"/>
      <c r="F21" s="3"/>
      <c r="G21" s="3"/>
      <c r="H21" s="3"/>
      <c r="I21" s="3"/>
      <c r="J21" s="3"/>
      <c r="K21" s="3"/>
      <c r="L21" s="3"/>
      <c r="M21" s="3"/>
      <c r="N21" s="3"/>
      <c r="O21" s="3"/>
      <c r="P21" s="3"/>
      <c r="Q21" s="3"/>
      <c r="R21" s="3"/>
      <c r="S21" s="3"/>
    </row>
    <row r="22" customFormat="false" ht="15" hidden="false" customHeight="false" outlineLevel="0" collapsed="false">
      <c r="A22" s="3"/>
      <c r="B22" s="3"/>
      <c r="C22" s="3"/>
      <c r="D22" s="3"/>
      <c r="E22" s="3"/>
      <c r="F22" s="3"/>
      <c r="G22" s="3"/>
      <c r="H22" s="3"/>
      <c r="I22" s="3"/>
      <c r="J22" s="3"/>
      <c r="K22" s="3"/>
      <c r="L22" s="3"/>
      <c r="M22" s="3"/>
      <c r="N22" s="3"/>
      <c r="O22" s="3"/>
      <c r="P22" s="3"/>
      <c r="Q22" s="3"/>
      <c r="R22" s="3"/>
      <c r="S22" s="3"/>
    </row>
    <row r="23" customFormat="false" ht="15" hidden="false" customHeight="false" outlineLevel="0" collapsed="false">
      <c r="A23" s="3"/>
      <c r="B23" s="3"/>
      <c r="C23" s="3"/>
      <c r="D23" s="3"/>
      <c r="E23" s="3"/>
      <c r="F23" s="3"/>
      <c r="G23" s="3"/>
      <c r="H23" s="3"/>
      <c r="I23" s="3"/>
      <c r="J23" s="3"/>
      <c r="K23" s="3"/>
      <c r="L23" s="3"/>
      <c r="M23" s="3"/>
      <c r="N23" s="3"/>
      <c r="O23" s="3"/>
      <c r="P23" s="3"/>
      <c r="Q23" s="3"/>
      <c r="R23" s="3"/>
      <c r="S23" s="3"/>
    </row>
    <row r="24" customFormat="false" ht="15" hidden="false" customHeight="false" outlineLevel="0" collapsed="false">
      <c r="A24" s="3"/>
      <c r="B24" s="3"/>
      <c r="C24" s="3"/>
      <c r="D24" s="3"/>
      <c r="E24" s="3"/>
      <c r="F24" s="3"/>
      <c r="G24" s="3"/>
      <c r="H24" s="3"/>
      <c r="I24" s="3"/>
      <c r="J24" s="3"/>
      <c r="K24" s="3"/>
      <c r="L24" s="3"/>
      <c r="M24" s="3"/>
      <c r="N24" s="3"/>
      <c r="O24" s="3"/>
      <c r="P24" s="3"/>
      <c r="Q24" s="3"/>
      <c r="R24" s="3"/>
      <c r="S24" s="3"/>
    </row>
    <row r="25" customFormat="false" ht="15" hidden="false" customHeight="false" outlineLevel="0" collapsed="false">
      <c r="A25" s="3"/>
      <c r="B25" s="3"/>
      <c r="C25" s="3"/>
      <c r="D25" s="3"/>
      <c r="E25" s="3"/>
      <c r="F25" s="3"/>
      <c r="G25" s="3"/>
      <c r="H25" s="3"/>
      <c r="I25" s="3"/>
      <c r="J25" s="3"/>
      <c r="K25" s="3"/>
      <c r="L25" s="3"/>
      <c r="M25" s="3"/>
      <c r="N25" s="3"/>
      <c r="O25" s="3"/>
      <c r="P25" s="3"/>
      <c r="Q25" s="3"/>
      <c r="R25" s="3"/>
      <c r="S25" s="3"/>
    </row>
    <row r="26" customFormat="false" ht="15" hidden="false" customHeight="false" outlineLevel="0" collapsed="false">
      <c r="A26" s="3"/>
      <c r="B26" s="3"/>
      <c r="C26" s="3"/>
      <c r="D26" s="3"/>
      <c r="E26" s="3"/>
      <c r="F26" s="3"/>
      <c r="G26" s="3"/>
      <c r="H26" s="3"/>
      <c r="I26" s="3"/>
      <c r="J26" s="3"/>
      <c r="K26" s="3"/>
      <c r="L26" s="3"/>
      <c r="M26" s="3"/>
      <c r="N26" s="3"/>
      <c r="O26" s="3"/>
      <c r="P26" s="3"/>
      <c r="Q26" s="3"/>
      <c r="R26" s="3"/>
      <c r="S26" s="3"/>
    </row>
    <row r="27" customFormat="false" ht="15" hidden="false" customHeight="false" outlineLevel="0" collapsed="false">
      <c r="A27" s="3"/>
      <c r="B27" s="3"/>
      <c r="C27" s="3"/>
      <c r="D27" s="3"/>
      <c r="E27" s="3"/>
      <c r="F27" s="3"/>
      <c r="G27" s="3"/>
      <c r="H27" s="3"/>
      <c r="I27" s="3"/>
      <c r="J27" s="3"/>
      <c r="K27" s="3"/>
      <c r="L27" s="3"/>
      <c r="M27" s="3"/>
      <c r="N27" s="3"/>
      <c r="O27" s="3"/>
      <c r="P27" s="3"/>
      <c r="Q27" s="3"/>
      <c r="R27" s="3"/>
      <c r="S27" s="3"/>
    </row>
    <row r="28" customFormat="false" ht="15" hidden="false" customHeight="false" outlineLevel="0" collapsed="false">
      <c r="A28" s="3"/>
      <c r="B28" s="3"/>
      <c r="C28" s="3"/>
      <c r="D28" s="3"/>
      <c r="E28" s="3"/>
      <c r="F28" s="3"/>
      <c r="G28" s="3"/>
      <c r="H28" s="3"/>
      <c r="I28" s="3"/>
      <c r="J28" s="3"/>
      <c r="K28" s="3"/>
      <c r="L28" s="3"/>
      <c r="M28" s="3"/>
      <c r="N28" s="3"/>
      <c r="O28" s="3"/>
      <c r="P28" s="3"/>
      <c r="Q28" s="3"/>
      <c r="R28" s="3"/>
      <c r="S28" s="3"/>
    </row>
    <row r="29" customFormat="false" ht="15" hidden="false" customHeight="false" outlineLevel="0" collapsed="false">
      <c r="A29" s="3"/>
      <c r="B29" s="3"/>
      <c r="C29" s="3"/>
      <c r="D29" s="3"/>
      <c r="E29" s="3"/>
      <c r="F29" s="3"/>
      <c r="G29" s="3"/>
      <c r="H29" s="3"/>
      <c r="I29" s="3"/>
      <c r="J29" s="3"/>
      <c r="K29" s="3"/>
      <c r="L29" s="3"/>
      <c r="M29" s="3"/>
      <c r="N29" s="3"/>
      <c r="O29" s="3"/>
      <c r="P29" s="3"/>
      <c r="Q29" s="3"/>
      <c r="R29" s="3"/>
      <c r="S29" s="3"/>
    </row>
  </sheetData>
  <sheetProtection algorithmName="SHA-512" hashValue="ApFD5QUS0gov3U0liaGglCQKNxf3YhmbsmDwbHw9m4vSo5EKUztDs1hwiA6wRmXTB686hkd0NplgeIXy4hPqTA==" saltValue="Ethq9ZFAoZy3xRXH2D/SWg==" spinCount="100000" sheet="true" selectLockedCells="true"/>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2" activeCellId="0" sqref="A12"/>
    </sheetView>
  </sheetViews>
  <sheetFormatPr defaultColWidth="12.4296875" defaultRowHeight="15" customHeight="true" zeroHeight="false" outlineLevelRow="0" outlineLevelCol="0"/>
  <cols>
    <col collapsed="false" customWidth="true" hidden="false" outlineLevel="0" max="1" min="1" style="1" width="34.29"/>
    <col collapsed="false" customWidth="true" hidden="false" outlineLevel="0" max="2" min="2" style="1" width="16"/>
    <col collapsed="false" customWidth="true" hidden="false" outlineLevel="0" max="4" min="3" style="1" width="18.43"/>
    <col collapsed="false" customWidth="true" hidden="false" outlineLevel="0" max="5" min="5" style="1" width="7.29"/>
    <col collapsed="false" customWidth="true" hidden="false" outlineLevel="0" max="6" min="6" style="1" width="22.57"/>
    <col collapsed="false" customWidth="true" hidden="false" outlineLevel="0" max="7" min="7" style="1" width="23"/>
  </cols>
  <sheetData>
    <row r="1" customFormat="false" ht="15" hidden="false" customHeight="false" outlineLevel="0" collapsed="false">
      <c r="A1" s="8" t="s">
        <v>6</v>
      </c>
      <c r="B1" s="8"/>
      <c r="C1" s="8"/>
      <c r="D1" s="8"/>
      <c r="F1" s="1" t="s">
        <v>7</v>
      </c>
    </row>
    <row r="2" customFormat="false" ht="15" hidden="false" customHeight="false" outlineLevel="0" collapsed="false">
      <c r="A2" s="9" t="s">
        <v>8</v>
      </c>
      <c r="B2" s="10" t="s">
        <v>9</v>
      </c>
      <c r="C2" s="10" t="s">
        <v>10</v>
      </c>
      <c r="D2" s="11" t="s">
        <v>11</v>
      </c>
      <c r="F2" s="12" t="s">
        <v>12</v>
      </c>
      <c r="G2" s="13" t="s">
        <v>13</v>
      </c>
    </row>
    <row r="3" customFormat="false" ht="15" hidden="false" customHeight="false" outlineLevel="0" collapsed="false">
      <c r="A3" s="14" t="s">
        <v>14</v>
      </c>
      <c r="B3" s="15" t="s">
        <v>15</v>
      </c>
      <c r="C3" s="16" t="n">
        <v>6</v>
      </c>
      <c r="D3" s="17" t="s">
        <v>16</v>
      </c>
      <c r="F3" s="18" t="n">
        <v>4</v>
      </c>
      <c r="G3" s="19" t="n">
        <f aca="false">IF(ISBLANK($C$3),"",(($D$5)*($F$3/6)))</f>
        <v>1769.728</v>
      </c>
    </row>
    <row r="4" customFormat="false" ht="29.1" hidden="false" customHeight="true" outlineLevel="0" collapsed="false">
      <c r="A4" s="20" t="s">
        <v>17</v>
      </c>
      <c r="B4" s="21" t="s">
        <v>18</v>
      </c>
      <c r="C4" s="22" t="s">
        <v>16</v>
      </c>
      <c r="D4" s="23" t="n">
        <f aca="false">IF(ISBLANK($C$3),"",(IF(C3&lt;6.6,((6.6-$C$3)/(0.25)),0)))</f>
        <v>2.4</v>
      </c>
      <c r="F4" s="24" t="s">
        <v>19</v>
      </c>
      <c r="G4" s="24"/>
    </row>
    <row r="5" customFormat="false" ht="30" hidden="false" customHeight="true" outlineLevel="0" collapsed="false">
      <c r="A5" s="14" t="s">
        <v>20</v>
      </c>
      <c r="B5" s="25" t="s">
        <v>21</v>
      </c>
      <c r="C5" s="26" t="s">
        <v>16</v>
      </c>
      <c r="D5" s="27" t="n">
        <f aca="false">IF(ISBLANK($C$3),"",((((0.446*((0.1)*($D$4^2)+$D$4)))*(2000))/(100/100)))</f>
        <v>2654.592</v>
      </c>
    </row>
    <row r="6" customFormat="false" ht="15.75" hidden="false" customHeight="true" outlineLevel="0" collapsed="false">
      <c r="A6" s="28" t="s">
        <v>22</v>
      </c>
      <c r="B6" s="28"/>
      <c r="C6" s="28"/>
      <c r="D6" s="28"/>
    </row>
    <row r="7" customFormat="false" ht="32.25" hidden="false" customHeight="true" outlineLevel="0" collapsed="false">
      <c r="A7" s="29" t="s">
        <v>23</v>
      </c>
      <c r="B7" s="29"/>
      <c r="C7" s="29"/>
      <c r="D7" s="29"/>
    </row>
    <row r="8" customFormat="false" ht="33.75" hidden="false" customHeight="true" outlineLevel="0" collapsed="false">
      <c r="A8" s="30" t="s">
        <v>24</v>
      </c>
      <c r="B8" s="30"/>
      <c r="C8" s="30"/>
      <c r="D8" s="30"/>
    </row>
    <row r="9" customFormat="false" ht="15" hidden="false" customHeight="false" outlineLevel="0" collapsed="false">
      <c r="A9" s="31" t="s">
        <v>25</v>
      </c>
      <c r="B9" s="32"/>
      <c r="C9" s="32"/>
      <c r="D9" s="32"/>
    </row>
    <row r="11" customFormat="false" ht="16.4" hidden="false" customHeight="false" outlineLevel="0" collapsed="false">
      <c r="A11" s="33" t="s">
        <v>26</v>
      </c>
      <c r="B11" s="34"/>
    </row>
    <row r="13" customFormat="false" ht="15" hidden="false" customHeight="false" outlineLevel="0" collapsed="false">
      <c r="A13" s="35"/>
    </row>
    <row r="18" customFormat="false" ht="15" hidden="false" customHeight="false" outlineLevel="0" collapsed="false">
      <c r="A18" s="36"/>
    </row>
    <row r="23" customFormat="false" ht="15" hidden="false" customHeight="false" outlineLevel="0" collapsed="false">
      <c r="A23" s="36"/>
    </row>
  </sheetData>
  <mergeCells count="5">
    <mergeCell ref="A1:D1"/>
    <mergeCell ref="F4:G4"/>
    <mergeCell ref="A6:D6"/>
    <mergeCell ref="A7:D7"/>
    <mergeCell ref="A8:D8"/>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59375" defaultRowHeight="15" customHeight="true" zeroHeight="false" outlineLevelRow="0" outlineLevelCol="0"/>
  <cols>
    <col collapsed="false" customWidth="true" hidden="false" outlineLevel="0" max="1" min="1" style="1" width="44.57"/>
    <col collapsed="false" customWidth="true" hidden="false" outlineLevel="0" max="2" min="2" style="1" width="17.86"/>
    <col collapsed="false" customWidth="true" hidden="false" outlineLevel="0" max="3" min="3" style="1" width="17.57"/>
    <col collapsed="false" customWidth="true" hidden="false" outlineLevel="0" max="4" min="4" style="1" width="20.57"/>
    <col collapsed="false" customWidth="true" hidden="false" outlineLevel="0" max="5" min="5" style="1" width="7.29"/>
    <col collapsed="false" customWidth="true" hidden="false" outlineLevel="0" max="6" min="6" style="1" width="43.14"/>
    <col collapsed="false" customWidth="true" hidden="false" outlineLevel="0" max="7" min="7" style="1" width="19.29"/>
    <col collapsed="false" customWidth="true" hidden="false" outlineLevel="0" max="8" min="8" style="1" width="17.14"/>
    <col collapsed="false" customWidth="true" hidden="false" outlineLevel="0" max="9" min="9" style="1" width="19.29"/>
  </cols>
  <sheetData>
    <row r="1" customFormat="false" ht="15" hidden="false" customHeight="false" outlineLevel="0" collapsed="false">
      <c r="A1" s="8" t="s">
        <v>27</v>
      </c>
      <c r="B1" s="8"/>
      <c r="C1" s="8"/>
      <c r="D1" s="8"/>
      <c r="F1" s="8" t="s">
        <v>28</v>
      </c>
      <c r="G1" s="8"/>
      <c r="H1" s="8"/>
      <c r="I1" s="8"/>
    </row>
    <row r="2" customFormat="false" ht="15" hidden="false" customHeight="false" outlineLevel="0" collapsed="false">
      <c r="A2" s="9" t="s">
        <v>29</v>
      </c>
      <c r="B2" s="10" t="s">
        <v>9</v>
      </c>
      <c r="C2" s="10" t="s">
        <v>10</v>
      </c>
      <c r="D2" s="11" t="s">
        <v>11</v>
      </c>
      <c r="F2" s="9" t="s">
        <v>29</v>
      </c>
      <c r="G2" s="10" t="s">
        <v>9</v>
      </c>
      <c r="H2" s="10" t="s">
        <v>10</v>
      </c>
      <c r="I2" s="11" t="s">
        <v>11</v>
      </c>
    </row>
    <row r="3" customFormat="false" ht="15" hidden="false" customHeight="false" outlineLevel="0" collapsed="false">
      <c r="A3" s="14" t="s">
        <v>30</v>
      </c>
      <c r="B3" s="15" t="s">
        <v>31</v>
      </c>
      <c r="C3" s="16"/>
      <c r="D3" s="17" t="s">
        <v>16</v>
      </c>
      <c r="F3" s="14" t="s">
        <v>30</v>
      </c>
      <c r="G3" s="15" t="s">
        <v>31</v>
      </c>
      <c r="H3" s="16"/>
      <c r="I3" s="17" t="s">
        <v>16</v>
      </c>
    </row>
    <row r="4" customFormat="false" ht="15" hidden="false" customHeight="false" outlineLevel="0" collapsed="false">
      <c r="A4" s="20" t="s">
        <v>32</v>
      </c>
      <c r="B4" s="21" t="s">
        <v>33</v>
      </c>
      <c r="C4" s="37"/>
      <c r="D4" s="38" t="s">
        <v>16</v>
      </c>
      <c r="F4" s="20" t="s">
        <v>34</v>
      </c>
      <c r="G4" s="39" t="s">
        <v>35</v>
      </c>
      <c r="H4" s="37"/>
      <c r="I4" s="38" t="s">
        <v>16</v>
      </c>
    </row>
    <row r="5" customFormat="false" ht="30" hidden="false" customHeight="true" outlineLevel="0" collapsed="false">
      <c r="A5" s="14" t="s">
        <v>36</v>
      </c>
      <c r="B5" s="25" t="s">
        <v>21</v>
      </c>
      <c r="C5" s="40" t="s">
        <v>16</v>
      </c>
      <c r="D5" s="41" t="str">
        <f aca="false">IF(ISBLANK($C$3)+ISBLANK($C$4),"",MAX(0,((-2170.7)+(1715.3*C3)+(14.94*C4))*(0.892179))/(100/100)*((6*2.54)/(20))*(1.3))</f>
        <v/>
      </c>
      <c r="F5" s="14" t="s">
        <v>20</v>
      </c>
      <c r="G5" s="25" t="s">
        <v>21</v>
      </c>
      <c r="H5" s="40" t="s">
        <v>16</v>
      </c>
      <c r="I5" s="41" t="str">
        <f aca="false">IF(ISBLANK($H$3)+ISBLANK($H$4),"",MAX(0,((7797)+(1584.2*H3)+(-1810.7*H4))*(0.892179))/(100/100)*((6*2.54)/(20))*(1.3))</f>
        <v/>
      </c>
    </row>
    <row r="6" customFormat="false" ht="16.5" hidden="false" customHeight="true" outlineLevel="0" collapsed="false">
      <c r="A6" s="42" t="s">
        <v>37</v>
      </c>
      <c r="B6" s="42"/>
      <c r="C6" s="42"/>
      <c r="D6" s="42"/>
      <c r="F6" s="43" t="s">
        <v>38</v>
      </c>
      <c r="G6" s="44"/>
      <c r="H6" s="44"/>
      <c r="I6" s="45"/>
    </row>
    <row r="7" customFormat="false" ht="16.5" hidden="false" customHeight="true" outlineLevel="0" collapsed="false">
      <c r="A7" s="46" t="s">
        <v>39</v>
      </c>
      <c r="B7" s="46"/>
      <c r="C7" s="46"/>
      <c r="D7" s="46"/>
      <c r="F7" s="47" t="s">
        <v>37</v>
      </c>
      <c r="G7" s="48"/>
      <c r="H7" s="48"/>
      <c r="I7" s="45"/>
    </row>
    <row r="8" customFormat="false" ht="15" hidden="false" customHeight="false" outlineLevel="0" collapsed="false">
      <c r="A8" s="46" t="s">
        <v>40</v>
      </c>
      <c r="B8" s="46"/>
      <c r="C8" s="46"/>
      <c r="D8" s="46"/>
      <c r="F8" s="49" t="s">
        <v>39</v>
      </c>
      <c r="G8" s="50"/>
      <c r="H8" s="50"/>
      <c r="I8" s="51"/>
    </row>
    <row r="9" customFormat="false" ht="30.75" hidden="false" customHeight="true" outlineLevel="0" collapsed="false">
      <c r="A9" s="29" t="s">
        <v>41</v>
      </c>
      <c r="B9" s="29"/>
      <c r="C9" s="29"/>
      <c r="D9" s="29"/>
      <c r="F9" s="29" t="s">
        <v>42</v>
      </c>
      <c r="G9" s="29"/>
      <c r="H9" s="29"/>
      <c r="I9" s="29"/>
    </row>
    <row r="10" customFormat="false" ht="30" hidden="false" customHeight="true" outlineLevel="0" collapsed="false">
      <c r="A10" s="30" t="s">
        <v>43</v>
      </c>
      <c r="B10" s="30"/>
      <c r="C10" s="30"/>
      <c r="D10" s="30"/>
      <c r="F10" s="30" t="s">
        <v>44</v>
      </c>
      <c r="G10" s="30"/>
      <c r="H10" s="30"/>
      <c r="I10" s="30"/>
    </row>
    <row r="11" customFormat="false" ht="15" hidden="false" customHeight="false" outlineLevel="0" collapsed="false">
      <c r="A11" s="52" t="s">
        <v>45</v>
      </c>
      <c r="B11" s="52"/>
      <c r="C11" s="52"/>
      <c r="D11" s="52"/>
      <c r="F11" s="52" t="s">
        <v>45</v>
      </c>
      <c r="G11" s="52"/>
      <c r="H11" s="52"/>
      <c r="I11" s="52"/>
    </row>
    <row r="13" customFormat="false" ht="16.4" hidden="false" customHeight="false" outlineLevel="0" collapsed="false">
      <c r="A13" s="33" t="s">
        <v>26</v>
      </c>
      <c r="B13" s="34"/>
      <c r="F13" s="33" t="s">
        <v>26</v>
      </c>
      <c r="G13" s="34"/>
    </row>
    <row r="14" customFormat="false" ht="15" hidden="false" customHeight="false" outlineLevel="0" collapsed="false">
      <c r="C14" s="1" t="s">
        <v>46</v>
      </c>
      <c r="H14" s="1" t="s">
        <v>47</v>
      </c>
    </row>
    <row r="15" customFormat="false" ht="15" hidden="false" customHeight="false" outlineLevel="0" collapsed="false">
      <c r="C15" s="12" t="s">
        <v>12</v>
      </c>
      <c r="D15" s="13" t="s">
        <v>48</v>
      </c>
      <c r="H15" s="12" t="s">
        <v>12</v>
      </c>
      <c r="I15" s="13" t="s">
        <v>48</v>
      </c>
    </row>
    <row r="16" customFormat="false" ht="15" hidden="false" customHeight="false" outlineLevel="0" collapsed="false">
      <c r="C16" s="18"/>
      <c r="D16" s="19" t="str">
        <f aca="false">IF(ISBLANK($C$3),"",(($D$5)*($C$16/6)))</f>
        <v/>
      </c>
      <c r="H16" s="18"/>
      <c r="I16" s="19" t="str">
        <f aca="false">IF(ISBLANK($H$3),"",(($I$5)*($H$16/6)))</f>
        <v/>
      </c>
    </row>
    <row r="17" customFormat="false" ht="36" hidden="false" customHeight="true" outlineLevel="0" collapsed="false">
      <c r="C17" s="53" t="s">
        <v>49</v>
      </c>
      <c r="D17" s="53"/>
      <c r="H17" s="54" t="s">
        <v>49</v>
      </c>
      <c r="I17" s="54"/>
    </row>
  </sheetData>
  <mergeCells count="13">
    <mergeCell ref="A1:D1"/>
    <mergeCell ref="F1:I1"/>
    <mergeCell ref="A6:D6"/>
    <mergeCell ref="A7:D7"/>
    <mergeCell ref="A8:D8"/>
    <mergeCell ref="A9:D9"/>
    <mergeCell ref="F9:I9"/>
    <mergeCell ref="A10:D10"/>
    <mergeCell ref="F10:I10"/>
    <mergeCell ref="A11:D11"/>
    <mergeCell ref="F11:I11"/>
    <mergeCell ref="C17:D17"/>
    <mergeCell ref="H17:I17"/>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59375" defaultRowHeight="15" customHeight="true" zeroHeight="false" outlineLevelRow="0" outlineLevelCol="0"/>
  <cols>
    <col collapsed="false" customWidth="true" hidden="false" outlineLevel="0" max="1" min="1" style="1" width="35.86"/>
    <col collapsed="false" customWidth="true" hidden="false" outlineLevel="0" max="4" min="2" style="1" width="18.14"/>
    <col collapsed="false" customWidth="true" hidden="false" outlineLevel="0" max="5" min="5" style="1" width="7.29"/>
    <col collapsed="false" customWidth="true" hidden="false" outlineLevel="0" max="7" min="6" style="1" width="22.14"/>
  </cols>
  <sheetData>
    <row r="1" customFormat="false" ht="15" hidden="false" customHeight="false" outlineLevel="0" collapsed="false">
      <c r="A1" s="8" t="s">
        <v>50</v>
      </c>
      <c r="B1" s="8"/>
      <c r="C1" s="8"/>
      <c r="D1" s="8"/>
      <c r="F1" s="8" t="s">
        <v>51</v>
      </c>
      <c r="G1" s="8"/>
    </row>
    <row r="2" customFormat="false" ht="15" hidden="false" customHeight="false" outlineLevel="0" collapsed="false">
      <c r="A2" s="9" t="s">
        <v>29</v>
      </c>
      <c r="B2" s="10" t="s">
        <v>9</v>
      </c>
      <c r="C2" s="10" t="s">
        <v>10</v>
      </c>
      <c r="D2" s="11" t="s">
        <v>11</v>
      </c>
      <c r="F2" s="12" t="s">
        <v>12</v>
      </c>
      <c r="G2" s="13" t="s">
        <v>48</v>
      </c>
    </row>
    <row r="3" customFormat="false" ht="16.5" hidden="false" customHeight="true" outlineLevel="0" collapsed="false">
      <c r="A3" s="14" t="s">
        <v>52</v>
      </c>
      <c r="B3" s="15" t="s">
        <v>15</v>
      </c>
      <c r="C3" s="16"/>
      <c r="D3" s="17" t="s">
        <v>16</v>
      </c>
      <c r="F3" s="18"/>
      <c r="G3" s="19" t="str">
        <f aca="false">IF(ISBLANK($C$3),"",(($D$5)*($F$3/6)))</f>
        <v/>
      </c>
    </row>
    <row r="4" customFormat="false" ht="17.25" hidden="false" customHeight="true" outlineLevel="0" collapsed="false">
      <c r="A4" s="20" t="s">
        <v>53</v>
      </c>
      <c r="B4" s="39" t="s">
        <v>15</v>
      </c>
      <c r="C4" s="37"/>
      <c r="D4" s="38" t="s">
        <v>16</v>
      </c>
      <c r="F4" s="24" t="s">
        <v>54</v>
      </c>
      <c r="G4" s="24"/>
    </row>
    <row r="5" customFormat="false" ht="30" hidden="false" customHeight="true" outlineLevel="0" collapsed="false">
      <c r="A5" s="14" t="s">
        <v>55</v>
      </c>
      <c r="B5" s="25" t="s">
        <v>21</v>
      </c>
      <c r="C5" s="40" t="s">
        <v>16</v>
      </c>
      <c r="D5" s="41" t="str">
        <f aca="false">IF(ISBLANK($C$3)+ISBLANK($C$4),"",MAX(0,(((8.38481203007521+($C$3*-4.40576441102757)+($C$4*3.5))*2000)/(100/100))*((6*2.54)/(20))*(1.3)))</f>
        <v/>
      </c>
    </row>
    <row r="6" customFormat="false" ht="15" hidden="false" customHeight="false" outlineLevel="0" collapsed="false">
      <c r="A6" s="55" t="s">
        <v>56</v>
      </c>
      <c r="B6" s="55"/>
      <c r="C6" s="55"/>
      <c r="D6" s="55"/>
    </row>
    <row r="7" customFormat="false" ht="15" hidden="false" customHeight="false" outlineLevel="0" collapsed="false">
      <c r="A7" s="56" t="s">
        <v>57</v>
      </c>
      <c r="B7" s="56"/>
      <c r="C7" s="56"/>
      <c r="D7" s="56"/>
    </row>
    <row r="8" customFormat="false" ht="28.5" hidden="false" customHeight="true" outlineLevel="0" collapsed="false">
      <c r="A8" s="29" t="s">
        <v>58</v>
      </c>
      <c r="B8" s="29"/>
      <c r="C8" s="29"/>
      <c r="D8" s="29"/>
    </row>
    <row r="9" customFormat="false" ht="34.5" hidden="false" customHeight="true" outlineLevel="0" collapsed="false">
      <c r="A9" s="30" t="s">
        <v>59</v>
      </c>
      <c r="B9" s="30"/>
      <c r="C9" s="30"/>
      <c r="D9" s="30"/>
    </row>
    <row r="10" customFormat="false" ht="15" hidden="false" customHeight="false" outlineLevel="0" collapsed="false">
      <c r="A10" s="57" t="s">
        <v>60</v>
      </c>
      <c r="B10" s="57"/>
      <c r="C10" s="57"/>
      <c r="D10" s="57"/>
    </row>
    <row r="12" customFormat="false" ht="16.4" hidden="false" customHeight="false" outlineLevel="0" collapsed="false">
      <c r="A12" s="33" t="s">
        <v>26</v>
      </c>
      <c r="B12" s="34"/>
    </row>
    <row r="15" customFormat="false" ht="37.5" hidden="false" customHeight="true" outlineLevel="0" collapsed="false"/>
  </sheetData>
  <mergeCells count="8">
    <mergeCell ref="A1:D1"/>
    <mergeCell ref="F1:G1"/>
    <mergeCell ref="F4:G4"/>
    <mergeCell ref="A6:D6"/>
    <mergeCell ref="A7:D7"/>
    <mergeCell ref="A8:D8"/>
    <mergeCell ref="A9:D9"/>
    <mergeCell ref="A10:D1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selection pane="topLeft" activeCell="C3" activeCellId="0" sqref="C3"/>
    </sheetView>
  </sheetViews>
  <sheetFormatPr defaultColWidth="8.859375" defaultRowHeight="15" customHeight="true" zeroHeight="false" outlineLevelRow="0" outlineLevelCol="0"/>
  <cols>
    <col collapsed="false" customWidth="true" hidden="false" outlineLevel="0" max="1" min="1" style="1" width="35.86"/>
    <col collapsed="false" customWidth="true" hidden="false" outlineLevel="0" max="2" min="2" style="1" width="16"/>
    <col collapsed="false" customWidth="true" hidden="false" outlineLevel="0" max="4" min="3" style="1" width="18.14"/>
    <col collapsed="false" customWidth="true" hidden="false" outlineLevel="0" max="5" min="5" style="1" width="7.29"/>
    <col collapsed="false" customWidth="true" hidden="false" outlineLevel="0" max="6" min="6" style="1" width="22.14"/>
    <col collapsed="false" customWidth="true" hidden="false" outlineLevel="0" max="7" min="7" style="1" width="22.57"/>
  </cols>
  <sheetData>
    <row r="1" customFormat="false" ht="15" hidden="false" customHeight="false" outlineLevel="0" collapsed="false">
      <c r="A1" s="8" t="s">
        <v>61</v>
      </c>
      <c r="B1" s="8"/>
      <c r="C1" s="8"/>
      <c r="D1" s="8"/>
      <c r="F1" s="8" t="s">
        <v>62</v>
      </c>
      <c r="G1" s="8"/>
    </row>
    <row r="2" customFormat="false" ht="15" hidden="false" customHeight="false" outlineLevel="0" collapsed="false">
      <c r="A2" s="9" t="s">
        <v>29</v>
      </c>
      <c r="B2" s="10" t="s">
        <v>9</v>
      </c>
      <c r="C2" s="10" t="s">
        <v>10</v>
      </c>
      <c r="D2" s="11" t="s">
        <v>11</v>
      </c>
      <c r="F2" s="12" t="s">
        <v>12</v>
      </c>
      <c r="G2" s="13" t="s">
        <v>48</v>
      </c>
    </row>
    <row r="3" customFormat="false" ht="15" hidden="false" customHeight="false" outlineLevel="0" collapsed="false">
      <c r="A3" s="14" t="s">
        <v>63</v>
      </c>
      <c r="B3" s="15" t="s">
        <v>15</v>
      </c>
      <c r="C3" s="16"/>
      <c r="D3" s="17" t="s">
        <v>16</v>
      </c>
      <c r="F3" s="18"/>
      <c r="G3" s="19" t="str">
        <f aca="false">IF(ISBLANK($C$3),"",(($D$5)*($F$3/6)))</f>
        <v/>
      </c>
    </row>
    <row r="4" customFormat="false" ht="15" hidden="false" customHeight="true" outlineLevel="0" collapsed="false">
      <c r="A4" s="20" t="s">
        <v>53</v>
      </c>
      <c r="B4" s="39" t="s">
        <v>15</v>
      </c>
      <c r="C4" s="37"/>
      <c r="D4" s="58" t="s">
        <v>16</v>
      </c>
      <c r="F4" s="24" t="s">
        <v>54</v>
      </c>
      <c r="G4" s="24"/>
    </row>
    <row r="5" customFormat="false" ht="30" hidden="false" customHeight="true" outlineLevel="0" collapsed="false">
      <c r="A5" s="14" t="s">
        <v>55</v>
      </c>
      <c r="B5" s="25" t="s">
        <v>21</v>
      </c>
      <c r="C5" s="40" t="s">
        <v>16</v>
      </c>
      <c r="D5" s="59" t="str">
        <f aca="false">IF(ISBLANK($C$3)+ISBLANK($C$4),"",MAX(0,(((49.9588095238095+($C$3*-12.2642857142857)+($C$4*5.64666666666667))*2000)/(100/100))*((6*2.54)/(20))*(1.3)))</f>
        <v/>
      </c>
    </row>
    <row r="6" customFormat="false" ht="15" hidden="false" customHeight="false" outlineLevel="0" collapsed="false">
      <c r="A6" s="55" t="s">
        <v>64</v>
      </c>
      <c r="B6" s="55"/>
      <c r="C6" s="55"/>
      <c r="D6" s="55"/>
    </row>
    <row r="7" customFormat="false" ht="15" hidden="false" customHeight="false" outlineLevel="0" collapsed="false">
      <c r="A7" s="56" t="s">
        <v>65</v>
      </c>
      <c r="B7" s="56"/>
      <c r="C7" s="56"/>
      <c r="D7" s="56"/>
    </row>
    <row r="8" customFormat="false" ht="31.5" hidden="false" customHeight="true" outlineLevel="0" collapsed="false">
      <c r="A8" s="29" t="s">
        <v>58</v>
      </c>
      <c r="B8" s="29"/>
      <c r="C8" s="29"/>
      <c r="D8" s="29"/>
    </row>
    <row r="9" customFormat="false" ht="31.5" hidden="false" customHeight="true" outlineLevel="0" collapsed="false">
      <c r="A9" s="30" t="s">
        <v>66</v>
      </c>
      <c r="B9" s="30"/>
      <c r="C9" s="30"/>
      <c r="D9" s="30"/>
    </row>
    <row r="10" customFormat="false" ht="15" hidden="false" customHeight="false" outlineLevel="0" collapsed="false">
      <c r="A10" s="57" t="s">
        <v>67</v>
      </c>
      <c r="B10" s="57"/>
      <c r="C10" s="57"/>
      <c r="D10" s="57"/>
    </row>
    <row r="12" customFormat="false" ht="16.4" hidden="false" customHeight="false" outlineLevel="0" collapsed="false">
      <c r="A12" s="33" t="s">
        <v>26</v>
      </c>
      <c r="B12" s="34"/>
    </row>
  </sheetData>
  <mergeCells count="8">
    <mergeCell ref="A1:D1"/>
    <mergeCell ref="F1:G1"/>
    <mergeCell ref="F4:G4"/>
    <mergeCell ref="A6:D6"/>
    <mergeCell ref="A7:D7"/>
    <mergeCell ref="A8:D8"/>
    <mergeCell ref="A9:D9"/>
    <mergeCell ref="A10:D1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3" activeCellId="0" sqref="C13"/>
    </sheetView>
  </sheetViews>
  <sheetFormatPr defaultColWidth="8.859375" defaultRowHeight="15" customHeight="true" zeroHeight="false" outlineLevelRow="0" outlineLevelCol="0"/>
  <cols>
    <col collapsed="false" customWidth="true" hidden="false" outlineLevel="0" max="1" min="1" style="60" width="15.86"/>
    <col collapsed="false" customWidth="true" hidden="false" outlineLevel="0" max="2" min="2" style="60" width="10.86"/>
    <col collapsed="false" customWidth="true" hidden="false" outlineLevel="0" max="3" min="3" style="60" width="14.86"/>
    <col collapsed="false" customWidth="true" hidden="false" outlineLevel="0" max="4" min="4" style="1" width="16.14"/>
    <col collapsed="false" customWidth="true" hidden="false" outlineLevel="0" max="5" min="5" style="1" width="31.86"/>
    <col collapsed="false" customWidth="true" hidden="false" outlineLevel="0" max="6" min="6" style="1" width="59.57"/>
    <col collapsed="false" customWidth="true" hidden="false" outlineLevel="0" max="7" min="7" style="1" width="14.86"/>
    <col collapsed="false" customWidth="true" hidden="false" outlineLevel="0" max="8" min="8" style="1" width="18.43"/>
    <col collapsed="false" customWidth="true" hidden="false" outlineLevel="0" max="9" min="9" style="1" width="7.29"/>
    <col collapsed="false" customWidth="true" hidden="false" outlineLevel="0" max="11" min="10" style="1" width="22.14"/>
  </cols>
  <sheetData>
    <row r="1" customFormat="false" ht="15" hidden="false" customHeight="false" outlineLevel="0" collapsed="false">
      <c r="A1" s="60" t="s">
        <v>68</v>
      </c>
      <c r="D1" s="60"/>
      <c r="E1" s="60"/>
      <c r="F1" s="60"/>
      <c r="G1" s="60"/>
      <c r="H1" s="60"/>
      <c r="J1" s="8" t="s">
        <v>69</v>
      </c>
      <c r="K1" s="8"/>
    </row>
    <row r="2" customFormat="false" ht="15" hidden="false" customHeight="false" outlineLevel="0" collapsed="false">
      <c r="A2" s="9" t="s">
        <v>29</v>
      </c>
      <c r="B2" s="10" t="s">
        <v>9</v>
      </c>
      <c r="C2" s="10" t="s">
        <v>10</v>
      </c>
      <c r="D2" s="10" t="s">
        <v>11</v>
      </c>
      <c r="E2" s="61" t="s">
        <v>70</v>
      </c>
      <c r="F2" s="62" t="s">
        <v>71</v>
      </c>
      <c r="G2" s="63" t="s">
        <v>72</v>
      </c>
      <c r="H2" s="64" t="s">
        <v>73</v>
      </c>
      <c r="J2" s="12" t="s">
        <v>12</v>
      </c>
      <c r="K2" s="13" t="s">
        <v>48</v>
      </c>
    </row>
    <row r="3" customFormat="false" ht="15" hidden="false" customHeight="false" outlineLevel="0" collapsed="false">
      <c r="A3" s="65" t="s">
        <v>74</v>
      </c>
      <c r="B3" s="66" t="s">
        <v>15</v>
      </c>
      <c r="C3" s="16"/>
      <c r="D3" s="26" t="s">
        <v>16</v>
      </c>
      <c r="E3" s="67"/>
      <c r="F3" s="67"/>
      <c r="G3" s="68"/>
      <c r="H3" s="69"/>
      <c r="J3" s="18"/>
      <c r="K3" s="19" t="str">
        <f aca="false">IF(ISBLANK($C$3),"",(($D$14)*($J$3/6)))</f>
        <v/>
      </c>
    </row>
    <row r="4" customFormat="false" ht="29.25" hidden="false" customHeight="true" outlineLevel="0" collapsed="false">
      <c r="A4" s="70" t="s">
        <v>75</v>
      </c>
      <c r="B4" s="71" t="s">
        <v>76</v>
      </c>
      <c r="C4" s="37"/>
      <c r="D4" s="72" t="s">
        <v>16</v>
      </c>
      <c r="E4" s="73" t="s">
        <v>77</v>
      </c>
      <c r="F4" s="74" t="s">
        <v>78</v>
      </c>
      <c r="G4" s="75"/>
      <c r="H4" s="76" t="n">
        <f aca="false">G4/200</f>
        <v>0</v>
      </c>
      <c r="J4" s="77" t="s">
        <v>19</v>
      </c>
      <c r="K4" s="77"/>
    </row>
    <row r="5" customFormat="false" ht="15" hidden="false" customHeight="false" outlineLevel="0" collapsed="false">
      <c r="A5" s="65" t="s">
        <v>79</v>
      </c>
      <c r="B5" s="78" t="s">
        <v>76</v>
      </c>
      <c r="C5" s="37"/>
      <c r="D5" s="26" t="s">
        <v>16</v>
      </c>
      <c r="E5" s="79" t="s">
        <v>77</v>
      </c>
      <c r="F5" s="80" t="s">
        <v>80</v>
      </c>
      <c r="G5" s="75"/>
      <c r="H5" s="81" t="n">
        <f aca="false">G5/120</f>
        <v>0</v>
      </c>
    </row>
    <row r="6" customFormat="false" ht="15" hidden="false" customHeight="false" outlineLevel="0" collapsed="false">
      <c r="A6" s="70" t="s">
        <v>81</v>
      </c>
      <c r="B6" s="71" t="s">
        <v>76</v>
      </c>
      <c r="C6" s="37"/>
      <c r="D6" s="72" t="s">
        <v>16</v>
      </c>
      <c r="E6" s="73" t="s">
        <v>77</v>
      </c>
      <c r="F6" s="74" t="s">
        <v>82</v>
      </c>
      <c r="G6" s="75"/>
      <c r="H6" s="76" t="n">
        <f aca="false">G6/390</f>
        <v>0</v>
      </c>
    </row>
    <row r="7" customFormat="false" ht="15.65" hidden="false" customHeight="false" outlineLevel="0" collapsed="false">
      <c r="A7" s="65" t="s">
        <v>83</v>
      </c>
      <c r="B7" s="78" t="s">
        <v>76</v>
      </c>
      <c r="C7" s="82"/>
      <c r="D7" s="26" t="s">
        <v>16</v>
      </c>
      <c r="E7" s="79" t="s">
        <v>77</v>
      </c>
      <c r="F7" s="80" t="s">
        <v>84</v>
      </c>
      <c r="G7" s="83"/>
      <c r="H7" s="81" t="n">
        <f aca="false">G7/230</f>
        <v>0</v>
      </c>
    </row>
    <row r="8" customFormat="false" ht="15" hidden="false" customHeight="false" outlineLevel="0" collapsed="false">
      <c r="A8" s="70" t="s">
        <v>85</v>
      </c>
      <c r="B8" s="71" t="s">
        <v>76</v>
      </c>
      <c r="C8" s="84"/>
      <c r="D8" s="85" t="n">
        <f aca="false">SUM($C$4:$C$7)</f>
        <v>0</v>
      </c>
      <c r="E8" s="73" t="s">
        <v>77</v>
      </c>
      <c r="F8" s="86" t="s">
        <v>86</v>
      </c>
      <c r="G8" s="86"/>
      <c r="H8" s="87"/>
    </row>
    <row r="9" customFormat="false" ht="15.65" hidden="false" customHeight="false" outlineLevel="0" collapsed="false">
      <c r="A9" s="65" t="s">
        <v>87</v>
      </c>
      <c r="B9" s="78" t="s">
        <v>76</v>
      </c>
      <c r="C9" s="84"/>
      <c r="D9" s="26" t="s">
        <v>16</v>
      </c>
      <c r="E9" s="79" t="s">
        <v>77</v>
      </c>
      <c r="F9" s="80" t="s">
        <v>88</v>
      </c>
      <c r="G9" s="80"/>
      <c r="H9" s="88"/>
    </row>
    <row r="10" customFormat="false" ht="15" hidden="false" customHeight="true" outlineLevel="0" collapsed="false">
      <c r="A10" s="70" t="s">
        <v>89</v>
      </c>
      <c r="B10" s="89" t="s">
        <v>76</v>
      </c>
      <c r="C10" s="84"/>
      <c r="D10" s="90" t="n">
        <f aca="false">IF($C$10=0,(IF($C$9=0,(IF($D$8&lt;7,((($D$8-$C$3)*1.3)+9),(((($D$8-$C$3)*1.25)+8)*((-0.0334*$C$3)+1.27)))/1.08),SUM($C$4:$C$7,$C$9))),"NA")</f>
        <v>8.33333333333333</v>
      </c>
      <c r="E10" s="91" t="s">
        <v>77</v>
      </c>
      <c r="F10" s="74" t="s">
        <v>88</v>
      </c>
      <c r="G10" s="74"/>
      <c r="H10" s="92"/>
    </row>
    <row r="11" customFormat="false" ht="15" hidden="false" customHeight="false" outlineLevel="0" collapsed="false">
      <c r="A11" s="70"/>
      <c r="B11" s="89"/>
      <c r="C11" s="84"/>
      <c r="D11" s="90"/>
      <c r="E11" s="91"/>
      <c r="F11" s="74" t="s">
        <v>90</v>
      </c>
      <c r="G11" s="74"/>
      <c r="H11" s="92"/>
    </row>
    <row r="12" customFormat="false" ht="15" hidden="false" customHeight="false" outlineLevel="0" collapsed="false">
      <c r="A12" s="65" t="s">
        <v>91</v>
      </c>
      <c r="B12" s="78" t="s">
        <v>31</v>
      </c>
      <c r="C12" s="84"/>
      <c r="D12" s="93" t="n">
        <f aca="false">IF($C$12=0,IF($C$9&gt;0,$D$8/($D$8+$C$9)*100,IF($C$10&gt;0,$D$8/$C$10*100,$D$8/$D$10*100)), "NA")</f>
        <v>0</v>
      </c>
      <c r="E12" s="25"/>
      <c r="F12" s="80" t="s">
        <v>92</v>
      </c>
      <c r="G12" s="80"/>
      <c r="H12" s="88"/>
    </row>
    <row r="13" customFormat="false" ht="15.65" hidden="false" customHeight="false" outlineLevel="0" collapsed="false">
      <c r="A13" s="70" t="s">
        <v>93</v>
      </c>
      <c r="B13" s="71" t="s">
        <v>31</v>
      </c>
      <c r="C13" s="16"/>
      <c r="D13" s="72" t="s">
        <v>16</v>
      </c>
      <c r="E13" s="21"/>
      <c r="F13" s="21"/>
      <c r="G13" s="21"/>
      <c r="H13" s="94"/>
    </row>
    <row r="14" customFormat="false" ht="31.5" hidden="false" customHeight="true" outlineLevel="0" collapsed="false">
      <c r="A14" s="65" t="s">
        <v>94</v>
      </c>
      <c r="B14" s="78" t="s">
        <v>21</v>
      </c>
      <c r="C14" s="26" t="s">
        <v>16</v>
      </c>
      <c r="D14" s="95" t="n">
        <f aca="false">MAX(0,((((IF($C$12=0,(IF($C$10=0,($C$13-$D$12)*$D$10,($C$13-$D$12)*$C$10)),(IF($C$10=0,($C$13-$C$12)*$D$10,($C$13-$C$12)*$C$10))))/(100))*(892.179))*((6*2.54)/(20)))*(1.3))</f>
        <v>0</v>
      </c>
      <c r="E14" s="25"/>
      <c r="F14" s="25"/>
      <c r="G14" s="25"/>
      <c r="H14" s="96"/>
    </row>
    <row r="15" customFormat="false" ht="15" hidden="false" customHeight="false" outlineLevel="0" collapsed="false">
      <c r="A15" s="97" t="s">
        <v>95</v>
      </c>
      <c r="B15" s="97"/>
      <c r="C15" s="97"/>
      <c r="D15" s="97"/>
      <c r="E15" s="97"/>
      <c r="F15" s="97"/>
      <c r="G15" s="98"/>
      <c r="H15" s="99"/>
    </row>
    <row r="16" customFormat="false" ht="15" hidden="false" customHeight="false" outlineLevel="0" collapsed="false">
      <c r="A16" s="100" t="s">
        <v>96</v>
      </c>
      <c r="B16" s="100"/>
      <c r="C16" s="100"/>
      <c r="D16" s="100"/>
      <c r="E16" s="100"/>
      <c r="F16" s="100"/>
      <c r="G16" s="101"/>
      <c r="H16" s="102"/>
    </row>
    <row r="17" customFormat="false" ht="15" hidden="false" customHeight="false" outlineLevel="0" collapsed="false">
      <c r="A17" s="100" t="s">
        <v>97</v>
      </c>
      <c r="B17" s="100"/>
      <c r="C17" s="100"/>
      <c r="D17" s="100"/>
      <c r="E17" s="100"/>
      <c r="F17" s="100"/>
      <c r="G17" s="101"/>
      <c r="H17" s="102"/>
    </row>
    <row r="18" customFormat="false" ht="16.5" hidden="false" customHeight="true" outlineLevel="0" collapsed="false">
      <c r="A18" s="103" t="s">
        <v>58</v>
      </c>
      <c r="B18" s="103"/>
      <c r="C18" s="103"/>
      <c r="D18" s="103"/>
      <c r="E18" s="103"/>
      <c r="F18" s="103"/>
      <c r="G18" s="104"/>
      <c r="H18" s="105"/>
    </row>
    <row r="19" customFormat="false" ht="16.5" hidden="false" customHeight="true" outlineLevel="0" collapsed="false">
      <c r="A19" s="106" t="s">
        <v>98</v>
      </c>
      <c r="B19" s="106"/>
      <c r="C19" s="106"/>
      <c r="D19" s="106"/>
      <c r="E19" s="106"/>
      <c r="F19" s="106"/>
      <c r="G19" s="104"/>
      <c r="H19" s="105"/>
    </row>
    <row r="20" customFormat="false" ht="15.75" hidden="false" customHeight="true" outlineLevel="0" collapsed="false">
      <c r="A20" s="107" t="s">
        <v>99</v>
      </c>
      <c r="B20" s="107"/>
      <c r="C20" s="107"/>
      <c r="D20" s="107"/>
      <c r="E20" s="107"/>
      <c r="F20" s="107"/>
      <c r="G20" s="108"/>
      <c r="H20" s="109"/>
    </row>
    <row r="21" customFormat="false" ht="15" hidden="false" customHeight="false" outlineLevel="0" collapsed="false">
      <c r="A21" s="110" t="s">
        <v>100</v>
      </c>
    </row>
    <row r="23" customFormat="false" ht="16.4" hidden="false" customHeight="false" outlineLevel="0" collapsed="false">
      <c r="A23" s="33" t="s">
        <v>26</v>
      </c>
      <c r="B23" s="111"/>
      <c r="C23" s="111"/>
      <c r="D23" s="34"/>
      <c r="F23" s="112" t="s">
        <v>101</v>
      </c>
    </row>
  </sheetData>
  <mergeCells count="13">
    <mergeCell ref="J1:K1"/>
    <mergeCell ref="J4:K4"/>
    <mergeCell ref="A10:A11"/>
    <mergeCell ref="B10:B11"/>
    <mergeCell ref="C10:C11"/>
    <mergeCell ref="D10:D11"/>
    <mergeCell ref="E10:E11"/>
    <mergeCell ref="A15:F15"/>
    <mergeCell ref="A16:F16"/>
    <mergeCell ref="A17:F17"/>
    <mergeCell ref="A18:F18"/>
    <mergeCell ref="A19:F19"/>
    <mergeCell ref="A20:F2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859375" defaultRowHeight="15" customHeight="true" zeroHeight="false" outlineLevelRow="0" outlineLevelCol="0"/>
  <cols>
    <col collapsed="false" customWidth="true" hidden="false" outlineLevel="0" max="1" min="1" style="1" width="15.86"/>
    <col collapsed="false" customWidth="true" hidden="false" outlineLevel="0" max="2" min="2" style="1" width="9.57"/>
    <col collapsed="false" customWidth="true" hidden="false" outlineLevel="0" max="3" min="3" style="1" width="14.86"/>
    <col collapsed="false" customWidth="true" hidden="false" outlineLevel="0" max="4" min="4" style="1" width="16.14"/>
    <col collapsed="false" customWidth="true" hidden="false" outlineLevel="0" max="5" min="5" style="1" width="34.72"/>
    <col collapsed="false" customWidth="true" hidden="false" outlineLevel="0" max="6" min="6" style="1" width="56.57"/>
    <col collapsed="false" customWidth="true" hidden="false" outlineLevel="0" max="7" min="7" style="1" width="14.86"/>
    <col collapsed="false" customWidth="true" hidden="false" outlineLevel="0" max="8" min="8" style="1" width="18.43"/>
    <col collapsed="false" customWidth="true" hidden="false" outlineLevel="0" max="9" min="9" style="1" width="7.29"/>
    <col collapsed="false" customWidth="true" hidden="false" outlineLevel="0" max="11" min="10" style="1" width="22.14"/>
  </cols>
  <sheetData>
    <row r="1" customFormat="false" ht="15" hidden="false" customHeight="false" outlineLevel="0" collapsed="false">
      <c r="A1" s="8" t="s">
        <v>102</v>
      </c>
      <c r="B1" s="8"/>
      <c r="C1" s="8"/>
      <c r="D1" s="8"/>
      <c r="E1" s="8"/>
      <c r="F1" s="8"/>
      <c r="G1" s="60"/>
      <c r="H1" s="60"/>
      <c r="J1" s="8" t="s">
        <v>103</v>
      </c>
      <c r="K1" s="8"/>
    </row>
    <row r="2" customFormat="false" ht="18" hidden="false" customHeight="true" outlineLevel="0" collapsed="false">
      <c r="A2" s="9" t="s">
        <v>29</v>
      </c>
      <c r="B2" s="10" t="s">
        <v>9</v>
      </c>
      <c r="C2" s="10" t="s">
        <v>10</v>
      </c>
      <c r="D2" s="10" t="s">
        <v>11</v>
      </c>
      <c r="E2" s="113" t="s">
        <v>104</v>
      </c>
      <c r="F2" s="62" t="s">
        <v>71</v>
      </c>
      <c r="G2" s="63" t="s">
        <v>72</v>
      </c>
      <c r="H2" s="64" t="s">
        <v>73</v>
      </c>
      <c r="J2" s="12" t="s">
        <v>12</v>
      </c>
      <c r="K2" s="13" t="s">
        <v>105</v>
      </c>
    </row>
    <row r="3" customFormat="false" ht="18" hidden="false" customHeight="true" outlineLevel="0" collapsed="false">
      <c r="A3" s="114" t="s">
        <v>74</v>
      </c>
      <c r="B3" s="115" t="s">
        <v>15</v>
      </c>
      <c r="C3" s="116"/>
      <c r="D3" s="117" t="s">
        <v>16</v>
      </c>
      <c r="E3" s="118"/>
      <c r="F3" s="118"/>
      <c r="G3" s="119"/>
      <c r="H3" s="120"/>
      <c r="J3" s="18"/>
      <c r="K3" s="19" t="str">
        <f aca="false">IF(ISBLANK($C$9),"",(($D$13)*($J$3/6)))</f>
        <v/>
      </c>
    </row>
    <row r="4" customFormat="false" ht="27.75" hidden="false" customHeight="true" outlineLevel="0" collapsed="false">
      <c r="A4" s="20" t="s">
        <v>75</v>
      </c>
      <c r="B4" s="21" t="s">
        <v>76</v>
      </c>
      <c r="C4" s="37"/>
      <c r="D4" s="72" t="s">
        <v>16</v>
      </c>
      <c r="E4" s="73" t="s">
        <v>77</v>
      </c>
      <c r="F4" s="74" t="s">
        <v>106</v>
      </c>
      <c r="G4" s="75"/>
      <c r="H4" s="76" t="n">
        <f aca="false">G4/200</f>
        <v>0</v>
      </c>
      <c r="J4" s="77" t="s">
        <v>19</v>
      </c>
      <c r="K4" s="77"/>
    </row>
    <row r="5" customFormat="false" ht="18" hidden="false" customHeight="true" outlineLevel="0" collapsed="false">
      <c r="A5" s="14" t="s">
        <v>79</v>
      </c>
      <c r="B5" s="25" t="s">
        <v>76</v>
      </c>
      <c r="C5" s="37"/>
      <c r="D5" s="26" t="s">
        <v>16</v>
      </c>
      <c r="E5" s="79" t="s">
        <v>77</v>
      </c>
      <c r="F5" s="80" t="s">
        <v>107</v>
      </c>
      <c r="G5" s="75"/>
      <c r="H5" s="81" t="n">
        <f aca="false">G5/120</f>
        <v>0</v>
      </c>
      <c r="J5" s="121" t="s">
        <v>108</v>
      </c>
      <c r="K5" s="121"/>
    </row>
    <row r="6" customFormat="false" ht="18" hidden="false" customHeight="true" outlineLevel="0" collapsed="false">
      <c r="A6" s="20" t="s">
        <v>81</v>
      </c>
      <c r="B6" s="21" t="s">
        <v>76</v>
      </c>
      <c r="C6" s="37"/>
      <c r="D6" s="72" t="s">
        <v>16</v>
      </c>
      <c r="E6" s="73" t="s">
        <v>77</v>
      </c>
      <c r="F6" s="74" t="s">
        <v>109</v>
      </c>
      <c r="G6" s="75"/>
      <c r="H6" s="76" t="n">
        <f aca="false">G6/390</f>
        <v>0</v>
      </c>
      <c r="J6" s="12" t="s">
        <v>110</v>
      </c>
      <c r="K6" s="13" t="s">
        <v>48</v>
      </c>
    </row>
    <row r="7" customFormat="false" ht="18" hidden="false" customHeight="true" outlineLevel="0" collapsed="false">
      <c r="A7" s="14" t="s">
        <v>111</v>
      </c>
      <c r="B7" s="25" t="s">
        <v>76</v>
      </c>
      <c r="C7" s="82"/>
      <c r="D7" s="26" t="s">
        <v>16</v>
      </c>
      <c r="E7" s="79" t="s">
        <v>77</v>
      </c>
      <c r="F7" s="80" t="s">
        <v>112</v>
      </c>
      <c r="G7" s="75"/>
      <c r="H7" s="81" t="n">
        <f aca="false">G7/230</f>
        <v>0</v>
      </c>
      <c r="J7" s="18"/>
      <c r="K7" s="19" t="str">
        <f aca="false">IF(ISBLANK($C$10),"",(($D$14)*($J$7/6)))</f>
        <v/>
      </c>
    </row>
    <row r="8" customFormat="false" ht="27" hidden="false" customHeight="true" outlineLevel="0" collapsed="false">
      <c r="A8" s="20" t="s">
        <v>85</v>
      </c>
      <c r="B8" s="21" t="s">
        <v>76</v>
      </c>
      <c r="C8" s="84"/>
      <c r="D8" s="85" t="n">
        <f aca="false">SUM($C$4:$C$7)</f>
        <v>0</v>
      </c>
      <c r="E8" s="73" t="s">
        <v>77</v>
      </c>
      <c r="F8" s="86" t="s">
        <v>113</v>
      </c>
      <c r="G8" s="86"/>
      <c r="H8" s="87"/>
      <c r="J8" s="77" t="s">
        <v>19</v>
      </c>
      <c r="K8" s="77"/>
    </row>
    <row r="9" customFormat="false" ht="18" hidden="false" customHeight="true" outlineLevel="0" collapsed="false">
      <c r="A9" s="14" t="s">
        <v>114</v>
      </c>
      <c r="B9" s="25" t="s">
        <v>76</v>
      </c>
      <c r="C9" s="122"/>
      <c r="D9" s="123" t="s">
        <v>16</v>
      </c>
      <c r="E9" s="79" t="s">
        <v>77</v>
      </c>
      <c r="F9" s="80" t="s">
        <v>115</v>
      </c>
      <c r="G9" s="75"/>
      <c r="H9" s="81" t="n">
        <f aca="false">G9/90</f>
        <v>0</v>
      </c>
    </row>
    <row r="10" customFormat="false" ht="18" hidden="false" customHeight="true" outlineLevel="0" collapsed="false">
      <c r="A10" s="20" t="s">
        <v>116</v>
      </c>
      <c r="B10" s="21" t="s">
        <v>76</v>
      </c>
      <c r="C10" s="84"/>
      <c r="D10" s="85" t="n">
        <f aca="false">IF(C10=0,(IF(C11=0,D11-D8,C11-D8)),"NA")</f>
        <v>8.33333333333333</v>
      </c>
      <c r="E10" s="73" t="s">
        <v>77</v>
      </c>
      <c r="F10" s="74" t="s">
        <v>92</v>
      </c>
      <c r="G10" s="124"/>
      <c r="H10" s="125"/>
    </row>
    <row r="11" customFormat="false" ht="18" hidden="false" customHeight="true" outlineLevel="0" collapsed="false">
      <c r="A11" s="14" t="s">
        <v>89</v>
      </c>
      <c r="B11" s="126" t="s">
        <v>76</v>
      </c>
      <c r="C11" s="84"/>
      <c r="D11" s="127" t="n">
        <f aca="false">IF($C$11=0,(IF($C$10=0,(IF($D$8&lt;7,((($D$8-$C$3)*1.3)+9),(((($D$8-$C$3)*1.25)+8)*((-0.0334*$C$3)+1.27)))/1.08),SUM($C$4:$C$7,$C$10))),"NA")</f>
        <v>8.33333333333333</v>
      </c>
      <c r="E11" s="128" t="s">
        <v>77</v>
      </c>
      <c r="F11" s="80" t="s">
        <v>117</v>
      </c>
      <c r="G11" s="80"/>
      <c r="H11" s="88"/>
    </row>
    <row r="12" customFormat="false" ht="18" hidden="false" customHeight="true" outlineLevel="0" collapsed="false">
      <c r="A12" s="14"/>
      <c r="B12" s="126"/>
      <c r="C12" s="84"/>
      <c r="D12" s="127"/>
      <c r="E12" s="128"/>
      <c r="F12" s="80" t="s">
        <v>118</v>
      </c>
      <c r="G12" s="80"/>
      <c r="H12" s="88"/>
    </row>
    <row r="13" customFormat="false" ht="30" hidden="false" customHeight="true" outlineLevel="0" collapsed="false">
      <c r="A13" s="20" t="s">
        <v>119</v>
      </c>
      <c r="B13" s="21" t="s">
        <v>21</v>
      </c>
      <c r="C13" s="72" t="s">
        <v>16</v>
      </c>
      <c r="D13" s="59" t="str">
        <f aca="false">IF(ISBLANK($C$9),"",((($C$9*1.5)/(100/100))*(892.179)*((6*2.54)/(20))*(1.3)))</f>
        <v/>
      </c>
      <c r="E13" s="21"/>
      <c r="F13" s="21"/>
      <c r="G13" s="21"/>
      <c r="H13" s="94"/>
    </row>
    <row r="14" customFormat="false" ht="30" hidden="false" customHeight="true" outlineLevel="0" collapsed="false">
      <c r="A14" s="129" t="s">
        <v>120</v>
      </c>
      <c r="B14" s="130" t="s">
        <v>21</v>
      </c>
      <c r="C14" s="131" t="s">
        <v>16</v>
      </c>
      <c r="D14" s="132" t="str">
        <f aca="false">IF(ISBLANK($C$10),"",(MAX(0,((((IF(C10&gt;0,1.5*C10,1.5*D10))/(100/100))*(892.179))*(6*2.54)/(20))*(1.3))))</f>
        <v/>
      </c>
      <c r="E14" s="130"/>
      <c r="F14" s="130"/>
      <c r="G14" s="130"/>
      <c r="H14" s="133"/>
    </row>
    <row r="15" customFormat="false" ht="16.5" hidden="false" customHeight="true" outlineLevel="0" collapsed="false">
      <c r="A15" s="134" t="s">
        <v>121</v>
      </c>
      <c r="B15" s="134"/>
      <c r="C15" s="134"/>
      <c r="D15" s="134"/>
      <c r="E15" s="134"/>
      <c r="F15" s="134"/>
      <c r="G15" s="134"/>
      <c r="H15" s="134"/>
    </row>
    <row r="16" customFormat="false" ht="16.5" hidden="false" customHeight="true" outlineLevel="0" collapsed="false">
      <c r="A16" s="135" t="s">
        <v>122</v>
      </c>
      <c r="B16" s="135"/>
      <c r="C16" s="135"/>
      <c r="D16" s="135"/>
      <c r="E16" s="135"/>
      <c r="F16" s="135"/>
      <c r="G16" s="135"/>
      <c r="H16" s="135"/>
    </row>
    <row r="17" customFormat="false" ht="16.5" hidden="false" customHeight="true" outlineLevel="0" collapsed="false">
      <c r="A17" s="135" t="s">
        <v>123</v>
      </c>
      <c r="B17" s="135"/>
      <c r="C17" s="135"/>
      <c r="D17" s="135"/>
      <c r="E17" s="135"/>
      <c r="F17" s="135"/>
      <c r="G17" s="135"/>
      <c r="H17" s="135"/>
    </row>
    <row r="18" customFormat="false" ht="16.5" hidden="false" customHeight="true" outlineLevel="0" collapsed="false">
      <c r="A18" s="29" t="s">
        <v>58</v>
      </c>
      <c r="B18" s="29"/>
      <c r="C18" s="29"/>
      <c r="D18" s="29"/>
      <c r="E18" s="29"/>
      <c r="F18" s="29"/>
      <c r="G18" s="29"/>
      <c r="H18" s="29"/>
    </row>
    <row r="19" customFormat="false" ht="16.5" hidden="false" customHeight="true" outlineLevel="0" collapsed="false">
      <c r="A19" s="136" t="s">
        <v>98</v>
      </c>
      <c r="B19" s="136"/>
      <c r="C19" s="136"/>
      <c r="D19" s="136"/>
      <c r="E19" s="136"/>
      <c r="F19" s="136"/>
      <c r="G19" s="136"/>
      <c r="H19" s="136"/>
    </row>
    <row r="20" customFormat="false" ht="16.5" hidden="false" customHeight="true" outlineLevel="0" collapsed="false">
      <c r="A20" s="30" t="s">
        <v>124</v>
      </c>
      <c r="B20" s="30"/>
      <c r="C20" s="30"/>
      <c r="D20" s="30"/>
      <c r="E20" s="30"/>
      <c r="F20" s="30"/>
      <c r="G20" s="30"/>
      <c r="H20" s="30"/>
    </row>
    <row r="21" customFormat="false" ht="15" hidden="false" customHeight="true" outlineLevel="0" collapsed="false">
      <c r="A21" s="137" t="s">
        <v>125</v>
      </c>
    </row>
    <row r="23" customFormat="false" ht="16.4" hidden="false" customHeight="false" outlineLevel="0" collapsed="false">
      <c r="A23" s="138" t="s">
        <v>26</v>
      </c>
      <c r="B23" s="138"/>
      <c r="C23" s="138"/>
      <c r="D23" s="138"/>
      <c r="F23" s="139" t="s">
        <v>101</v>
      </c>
    </row>
  </sheetData>
  <mergeCells count="17">
    <mergeCell ref="A1:F1"/>
    <mergeCell ref="J1:K1"/>
    <mergeCell ref="J4:K4"/>
    <mergeCell ref="J5:K5"/>
    <mergeCell ref="J8:K8"/>
    <mergeCell ref="A11:A12"/>
    <mergeCell ref="B11:B12"/>
    <mergeCell ref="C11:C12"/>
    <mergeCell ref="D11:D12"/>
    <mergeCell ref="E11:E12"/>
    <mergeCell ref="A15:H15"/>
    <mergeCell ref="A16:H16"/>
    <mergeCell ref="A17:H17"/>
    <mergeCell ref="A18:H18"/>
    <mergeCell ref="A19:H19"/>
    <mergeCell ref="A20:H20"/>
    <mergeCell ref="A23:D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59375" defaultRowHeight="15" customHeight="true" zeroHeight="false" outlineLevelRow="0" outlineLevelCol="0"/>
  <cols>
    <col collapsed="false" customWidth="true" hidden="false" outlineLevel="0" max="1" min="1" style="1" width="31.29"/>
    <col collapsed="false" customWidth="true" hidden="false" outlineLevel="0" max="2" min="2" style="1" width="24.14"/>
    <col collapsed="false" customWidth="true" hidden="false" outlineLevel="0" max="4" min="3" style="1" width="23.86"/>
    <col collapsed="false" customWidth="true" hidden="false" outlineLevel="0" max="5" min="5" style="140" width="23.86"/>
    <col collapsed="false" customWidth="true" hidden="false" outlineLevel="0" max="9" min="6" style="140" width="16.29"/>
  </cols>
  <sheetData>
    <row r="1" customFormat="false" ht="15" hidden="false" customHeight="false" outlineLevel="0" collapsed="false">
      <c r="A1" s="141" t="s">
        <v>126</v>
      </c>
      <c r="B1" s="141"/>
      <c r="C1" s="141"/>
    </row>
    <row r="2" customFormat="false" ht="15" hidden="false" customHeight="false" outlineLevel="0" collapsed="false">
      <c r="A2" s="142"/>
      <c r="B2" s="143" t="s">
        <v>127</v>
      </c>
      <c r="C2" s="144" t="s">
        <v>9</v>
      </c>
      <c r="D2" s="140"/>
    </row>
    <row r="3" customFormat="false" ht="19.5" hidden="false" customHeight="true" outlineLevel="0" collapsed="false">
      <c r="A3" s="145" t="s">
        <v>128</v>
      </c>
      <c r="B3" s="146"/>
      <c r="C3" s="147" t="s">
        <v>21</v>
      </c>
      <c r="D3" s="140"/>
    </row>
    <row r="4" customFormat="false" ht="19.5" hidden="false" customHeight="true" outlineLevel="0" collapsed="false">
      <c r="A4" s="148" t="s">
        <v>129</v>
      </c>
      <c r="B4" s="37"/>
      <c r="C4" s="149" t="s">
        <v>130</v>
      </c>
      <c r="D4" s="140"/>
    </row>
    <row r="5" customFormat="false" ht="19.5" hidden="false" customHeight="true" outlineLevel="0" collapsed="false">
      <c r="A5" s="145" t="s">
        <v>131</v>
      </c>
      <c r="B5" s="37"/>
      <c r="C5" s="147" t="s">
        <v>132</v>
      </c>
      <c r="D5" s="140"/>
    </row>
    <row r="6" customFormat="false" ht="24.75" hidden="false" customHeight="true" outlineLevel="0" collapsed="false">
      <c r="A6" s="150" t="s">
        <v>133</v>
      </c>
      <c r="B6" s="151" t="e">
        <f aca="false">IF(AND(B4=6,B5=100),B3,(($B$3/($B$5/100))*(($B$4/6))))</f>
        <v>#DIV/0!</v>
      </c>
      <c r="C6" s="152" t="s">
        <v>21</v>
      </c>
      <c r="D6" s="140"/>
    </row>
    <row r="7" customFormat="false" ht="19.5" hidden="false" customHeight="true" outlineLevel="0" collapsed="false">
      <c r="A7" s="150" t="s">
        <v>133</v>
      </c>
      <c r="B7" s="153" t="e">
        <f aca="false">IF((ISBLANK($B$6)),"",($B$6/2000))</f>
        <v>#DIV/0!</v>
      </c>
      <c r="C7" s="154" t="s">
        <v>134</v>
      </c>
      <c r="D7" s="140"/>
    </row>
    <row r="8" customFormat="false" ht="19.5" hidden="false" customHeight="true" outlineLevel="0" collapsed="false">
      <c r="A8" s="155" t="s">
        <v>135</v>
      </c>
      <c r="B8" s="155"/>
      <c r="C8" s="155"/>
      <c r="D8" s="140"/>
    </row>
    <row r="9" customFormat="false" ht="19.5" hidden="false" customHeight="true" outlineLevel="0" collapsed="false">
      <c r="A9" s="155" t="s">
        <v>136</v>
      </c>
      <c r="B9" s="155"/>
      <c r="C9" s="155"/>
      <c r="D9" s="140"/>
    </row>
    <row r="10" customFormat="false" ht="19.5" hidden="false" customHeight="true" outlineLevel="0" collapsed="false">
      <c r="A10" s="156" t="s">
        <v>137</v>
      </c>
      <c r="B10" s="157"/>
      <c r="C10" s="158"/>
      <c r="D10" s="140"/>
    </row>
    <row r="11" customFormat="false" ht="18" hidden="false" customHeight="true" outlineLevel="0" collapsed="false">
      <c r="D11" s="140"/>
    </row>
    <row r="12" customFormat="false" ht="18" hidden="false" customHeight="true" outlineLevel="0" collapsed="false">
      <c r="A12" s="138" t="s">
        <v>26</v>
      </c>
      <c r="B12" s="138"/>
      <c r="C12" s="140"/>
      <c r="D12" s="140"/>
    </row>
    <row r="13" customFormat="false" ht="18" hidden="false" customHeight="true" outlineLevel="0" collapsed="false">
      <c r="C13" s="140"/>
      <c r="D13" s="140"/>
    </row>
  </sheetData>
  <mergeCells count="4">
    <mergeCell ref="A1:C1"/>
    <mergeCell ref="A8:C8"/>
    <mergeCell ref="A9:C9"/>
    <mergeCell ref="A12:B1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LibreOffice/25.8.2.2$Linux_X86_64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2024-04-23T17:17:35Z</dcterms:created>
  <dc:creator>Antonangelo, Joao</dc:creator>
  <dc:description/>
  <dc:language>en-US</dc:language>
  <cp:lastModifiedBy/>
  <dcterms:modified xsi:type="dcterms:W3CDTF">2025-11-18T14:11:29Z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